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Auditoria nico\2023\Elizabeth\91) TABACALERA MENHURSA S.A\0. PERMANENTE\"/>
    </mc:Choice>
  </mc:AlternateContent>
  <xr:revisionPtr revIDLastSave="0" documentId="13_ncr:1_{9AE0AAEC-0DAA-4905-8756-4F101EE3626D}" xr6:coauthVersionLast="47" xr6:coauthVersionMax="47" xr10:uidLastSave="{00000000-0000-0000-0000-000000000000}"/>
  <bookViews>
    <workbookView xWindow="-120" yWindow="-120" windowWidth="20730" windowHeight="11040" tabRatio="676" activeTab="4" xr2:uid="{00000000-000D-0000-FFFF-FFFF00000000}"/>
  </bookViews>
  <sheets>
    <sheet name="RECOPILACIÓN" sheetId="6" r:id="rId1"/>
    <sheet name="REDACCIÓN" sheetId="5" r:id="rId2"/>
    <sheet name="CUESTIONARIO" sheetId="1" r:id="rId3"/>
    <sheet name="PLANIFICACIÓN" sheetId="3" r:id="rId4"/>
    <sheet name="ANEXOS" sheetId="4" r:id="rId5"/>
  </sheets>
  <definedNames>
    <definedName name="_xlnm._FilterDatabase" localSheetId="4" hidden="1">ANEXOS!$A$1:$A$5</definedName>
    <definedName name="_xlnm.Print_Area" localSheetId="2">CUESTIONARIO!$B$1:$L$124</definedName>
    <definedName name="_xlnm.Print_Area" localSheetId="3">PLANIFICACIÓN!$B$1:$K$87</definedName>
    <definedName name="_xlnm.Print_Area" localSheetId="0">RECOPILACIÓN!$B$1:$G$46</definedName>
    <definedName name="_xlnm.Print_Area" localSheetId="1">REDACCIÓN!$B$2:$H$128</definedName>
    <definedName name="_xlnm.Print_Titles" localSheetId="2">CUESTIONARIO!$1:$15</definedName>
    <definedName name="_xlnm.Print_Titles" localSheetId="3">PLANIFICACIÓN!$1:$15</definedName>
    <definedName name="_xlnm.Print_Titles" localSheetId="1">REDACCIÓN!$2:$6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  <c r="E2" i="1"/>
  <c r="D2" i="5"/>
  <c r="F7" i="5"/>
  <c r="L10" i="1" s="1"/>
  <c r="H15" i="3" s="1"/>
  <c r="K21" i="1" l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K16" i="1"/>
  <c r="R16" i="1"/>
  <c r="K37" i="1"/>
  <c r="R107" i="1" l="1"/>
  <c r="R108" i="1" s="1"/>
  <c r="S108" i="1" s="1"/>
  <c r="K18" i="1" l="1"/>
  <c r="D3" i="5" l="1"/>
  <c r="K111" i="1" l="1"/>
  <c r="K106" i="1"/>
  <c r="K105" i="1"/>
  <c r="K104" i="1"/>
  <c r="K103" i="1"/>
  <c r="K101" i="1"/>
  <c r="K100" i="1"/>
  <c r="K99" i="1"/>
  <c r="K102" i="1"/>
  <c r="K98" i="1"/>
  <c r="K96" i="1"/>
  <c r="K95" i="1"/>
  <c r="K94" i="1"/>
  <c r="K93" i="1"/>
  <c r="K92" i="1"/>
  <c r="K91" i="1"/>
  <c r="K90" i="1"/>
  <c r="K89" i="1"/>
  <c r="K87" i="1"/>
  <c r="K86" i="1"/>
  <c r="K85" i="1"/>
  <c r="K84" i="1"/>
  <c r="K83" i="1"/>
  <c r="K82" i="1"/>
  <c r="K81" i="1"/>
  <c r="K80" i="1"/>
  <c r="K79" i="1"/>
  <c r="K78" i="1"/>
  <c r="K77" i="1"/>
  <c r="K64" i="1"/>
  <c r="K63" i="1"/>
  <c r="K62" i="1"/>
  <c r="K61" i="1"/>
  <c r="K60" i="1"/>
  <c r="K59" i="1"/>
  <c r="K42" i="1"/>
  <c r="K41" i="1"/>
  <c r="K75" i="1" l="1"/>
  <c r="K74" i="1" l="1"/>
  <c r="K73" i="1"/>
  <c r="K72" i="1"/>
  <c r="K71" i="1"/>
  <c r="K70" i="1"/>
  <c r="K69" i="1"/>
  <c r="K68" i="1"/>
  <c r="K67" i="1"/>
  <c r="K66" i="1"/>
  <c r="K65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0" i="1"/>
  <c r="K39" i="1"/>
  <c r="K38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0" i="1"/>
  <c r="K19" i="1"/>
  <c r="K17" i="1"/>
  <c r="K117" i="1" l="1"/>
</calcChain>
</file>

<file path=xl/sharedStrings.xml><?xml version="1.0" encoding="utf-8"?>
<sst xmlns="http://schemas.openxmlformats.org/spreadsheetml/2006/main" count="505" uniqueCount="380">
  <si>
    <t>COMPAÑÍA:</t>
  </si>
  <si>
    <t>ELABORADO POR:</t>
  </si>
  <si>
    <t>FECHA:</t>
  </si>
  <si>
    <t>SUPERVISADO POR:</t>
  </si>
  <si>
    <t>CUMPLIMIENTO</t>
  </si>
  <si>
    <t>Firma y sello</t>
  </si>
  <si>
    <t>X</t>
  </si>
  <si>
    <t>No Cumple.</t>
  </si>
  <si>
    <t>✔</t>
  </si>
  <si>
    <t>Si Cumple.</t>
  </si>
  <si>
    <t>N/A</t>
  </si>
  <si>
    <t>No Aplica.</t>
  </si>
  <si>
    <t>¿¿</t>
  </si>
  <si>
    <t>¿</t>
  </si>
  <si>
    <t>¿¿¿</t>
  </si>
  <si>
    <t>ACTAS Y CONTRATOS</t>
  </si>
  <si>
    <t>REF</t>
  </si>
  <si>
    <t>N°</t>
  </si>
  <si>
    <t xml:space="preserve">RESPUESTA BASADA EN </t>
  </si>
  <si>
    <t>OBSERVACIÓN</t>
  </si>
  <si>
    <t>PREGUNTA</t>
  </si>
  <si>
    <t>CAL</t>
  </si>
  <si>
    <t>¿Cuenta la empresa con un libro de Acciones y Accionistas?</t>
  </si>
  <si>
    <t>¿Existen contratos importantes celebrados por la compañía y vigentes en el periodo de la auditoria?</t>
  </si>
  <si>
    <t>PERÍODOS ANTERIORES</t>
  </si>
  <si>
    <t>Pregunta</t>
  </si>
  <si>
    <t xml:space="preserve">Observación </t>
  </si>
  <si>
    <t>Otra</t>
  </si>
  <si>
    <t>¿¿¿¿</t>
  </si>
  <si>
    <t>Se celebran regularmente sesiones del Consejo de Administración.</t>
  </si>
  <si>
    <t>Constan todas las actas en los libros respectivos y están firmadas.</t>
  </si>
  <si>
    <t>PERÍODO:</t>
  </si>
  <si>
    <t>ÁREA:</t>
  </si>
  <si>
    <t>CALIFICACIÓN</t>
  </si>
  <si>
    <t>-</t>
  </si>
  <si>
    <t>AÑO ACTUAL</t>
  </si>
  <si>
    <t>¿ La compañía auditada generó ingresos operacionales ?</t>
  </si>
  <si>
    <t>¿La empresa auditada cuenta  con un plan o manual de cuentas?</t>
  </si>
  <si>
    <t>Usa el cliente asientos repetitivos o pólizas fijas para el registro de sus operaciones mensuales?</t>
  </si>
  <si>
    <t>Las declaraciones de impuestos son:
- Preparadas con los datos de la contabilidad
- Conciliadas contra registros contable
- Presentadas oportunamente</t>
  </si>
  <si>
    <t>¿Se realizan regularmente copias de seguridad?</t>
  </si>
  <si>
    <t>¿Se almacena las copias de seguridad en una ubicación diferente y en un lugar cerrado y seguro?</t>
  </si>
  <si>
    <t>¿Esta prohibido o regulado el uso privado de los ordenadores?</t>
  </si>
  <si>
    <t>OBJETIVOS:</t>
  </si>
  <si>
    <t>* Valorar el entorno de control como parte del enfoque de la Auditoria.</t>
  </si>
  <si>
    <t>CUESTIONARIO DE AUDITORÍA SOBRE EL CONTROL INTERNO</t>
  </si>
  <si>
    <t>Control Interno</t>
  </si>
  <si>
    <t>¿Tiene el cliente organigramas generales, por departamento, se encuentran actualizados, se cuenta con evidencia de publicación y difusión?</t>
  </si>
  <si>
    <t xml:space="preserve">¿Existen normas y procedimientos para la contratación, adiestramiento, motivación, evaluación, promoción, remuneración, traslados y terminación de personal que sean aplicables a todas las áreas funcionales. </t>
  </si>
  <si>
    <t>¿Existe y se aplica política para cuentas incobrables o de difícil recuperación.</t>
  </si>
  <si>
    <t>¿Cuenta el cliente con abogados internos o externos?</t>
  </si>
  <si>
    <t>¿Se preparan presupuestos y en su caso se comparan mensualmente contra cifras reales.?</t>
  </si>
  <si>
    <t>¿Se encuentran debidamente autorizados?</t>
  </si>
  <si>
    <t>¿Se tienen calendarizadas las obligaciones fiscales y monitoreado su cumplimiento?</t>
  </si>
  <si>
    <t>¿Están asegurados contra todos los riesgos que se corren todos los bienes; edificios, maquinaria, equipo, inventarios, etc., propiedad de la empresa?</t>
  </si>
  <si>
    <t>¿Están asegurados los bienes de terceros bajo responsabilidad de la empresa y de la empresa bajo responsabilidad de terceros.?</t>
  </si>
  <si>
    <t>¿Las coberturas son suficientes para cubrir su valor de recuperación?</t>
  </si>
  <si>
    <t>¿Los endosos de la pólizas de seguro son presentados oportunamente?</t>
  </si>
  <si>
    <t>¿El personal que maneja efectivo esta afianzado?</t>
  </si>
  <si>
    <t>¿Las pólizas están debidamente resguardadas?</t>
  </si>
  <si>
    <t>¿Las nominas son debidamente verificadas con respecto a horas, salarios, cálculos, etc.?</t>
  </si>
  <si>
    <t>¿Los salarios no reclamados son depositados con oportunidad?</t>
  </si>
  <si>
    <t>Se cumple adecuadamente con las NIF´s y son aplicadas en forma consistente?</t>
  </si>
  <si>
    <t>¿Están las actividades que desarrolla la compañía inscritas en el RUC?</t>
  </si>
  <si>
    <t>ACTIVIDAD</t>
  </si>
  <si>
    <t>¿La dirección que consta en el RUC es en la que funciona la compañía?</t>
  </si>
  <si>
    <t xml:space="preserve">¿Está el nombramiento del gerente y presidente actualizados? </t>
  </si>
  <si>
    <t>Se cuenta con Catálogo o plan de cuentas y esta actualizado?</t>
  </si>
  <si>
    <t>ORGANIZACIÓN</t>
  </si>
  <si>
    <t>JUICIOS LEGALES</t>
  </si>
  <si>
    <t>SISTEMAS, LIBROS, NIIF</t>
  </si>
  <si>
    <t>SITUACIÓN FISCAL</t>
  </si>
  <si>
    <t>SEGUROS Y FIANZAS</t>
  </si>
  <si>
    <t>PERSONAL Y NÓMINAS</t>
  </si>
  <si>
    <t>SISTEMA CONTABLE</t>
  </si>
  <si>
    <t>CONCLUSIÓN</t>
  </si>
  <si>
    <t>* Obtener un entendimiento global del control interno y del entorno contable y financiero de la compañía.</t>
  </si>
  <si>
    <t>* Obtener evidencia sobre los controles internos en vistas a valorar si se puede confiar en ellos.</t>
  </si>
  <si>
    <t>RIESGO</t>
  </si>
  <si>
    <t>BAJO</t>
  </si>
  <si>
    <t>ALTO</t>
  </si>
  <si>
    <t>MODERADO</t>
  </si>
  <si>
    <t>31% al 60%</t>
  </si>
  <si>
    <t>61% al 100%</t>
  </si>
  <si>
    <t>% Cumplimiento</t>
  </si>
  <si>
    <t>1% al 30%</t>
  </si>
  <si>
    <t>Revisar las Actividades del Ruc de la Empresa en relación al giro del negocio.</t>
  </si>
  <si>
    <t>Escrituras Públicas -Pedir Acta de Futuro Aumento de Capital.</t>
  </si>
  <si>
    <t>Nómina de Accionistas y Administradores, para revisar las actas del aspecto societario.</t>
  </si>
  <si>
    <t>Certificaciones (ISO-C.C.O-IESS)</t>
  </si>
  <si>
    <t>Contrato de Arrendamiento (si fuera el caso)</t>
  </si>
  <si>
    <t>Revisar y Verificar el Nombramiento del Presidente y del Gerente de la Empresa.(Sean estos Nacionales o Internacionales)</t>
  </si>
  <si>
    <t>Informes de Auditorias del Año Anterior, (Auditoria Externa, Auditoria de Salud-Auditoria Ambiental entre otras dependiendo el caso) Informe de Gerente.</t>
  </si>
  <si>
    <t>Solicitar el Organigrama de la Empresa ( En caso de que no le entreguen el documento solicitado redactar y realizar el organigrama según lo observado en la empresa)</t>
  </si>
  <si>
    <t>Manual de Políticas, Procedimientos y Descripción de Funciones por Departamento o Cargos dependiendo la empresa. (En caso de que no le entreguen el documento solicitado redactar y realizar las funciones que realiza el personal según el giro del negocio incluyendo el nombre del responsable del área)</t>
  </si>
  <si>
    <t xml:space="preserve">Verificar que la empresa cuente con los cuatro libros Societarios, 1.- Libro de Actas. 2.- Libro de Expedientes. 3.- Libro de Certificado de Aportaciones. 4.- Libro de Participaciones o Libro de Acciones y Accionistas. </t>
  </si>
  <si>
    <t>Solicitar los contratos importantes celebrados por la compañía y vigentes en el periodo.</t>
  </si>
  <si>
    <t>Solicitar el permiso de Funcionamiento de la compañía, o impuesto predial.</t>
  </si>
  <si>
    <t xml:space="preserve">Solicitar el CALCULO ACTUARIAL </t>
  </si>
  <si>
    <t>CONTROL DEL MINISTERIO DE RELACIONES LABORALES</t>
  </si>
  <si>
    <t>Solicitar Reglamento Interno - Reglamento de seguridad y salud</t>
  </si>
  <si>
    <t>Verificar que exista el Reglamento Interno de Contratación de trabajadores aprobado por el MRL.</t>
  </si>
  <si>
    <t>CONTROL Y SISTEMA CONTABLE</t>
  </si>
  <si>
    <t xml:space="preserve">Políticas Contables </t>
  </si>
  <si>
    <t xml:space="preserve">Manual de Funciones del Sistema Contable </t>
  </si>
  <si>
    <t>Solicitar el plan de Cuentas.</t>
  </si>
  <si>
    <t xml:space="preserve">Solicitar un Reporte del secuencial de Facturas de Ventas. </t>
  </si>
  <si>
    <t>PLANIFICACIÓN SOBRE EL CONTROL INTERNO</t>
  </si>
  <si>
    <t>Describir como se realiza el registro y reporte de la cuenta Bancos y el responsable del Control, y verificar si los cheques son impresos por el sistema, y si las firmas son conjuntas o individuales y a su vez verificar los cheques válidos y anulados.</t>
  </si>
  <si>
    <t>Describir como se realiza el registro y reporte de la cuenta Ventas y el responsable del Control.</t>
  </si>
  <si>
    <t>Describir como se realiza el registro y reporte de las compras y el responsable del Control.</t>
  </si>
  <si>
    <t>Describir como se realiza el registro y reporte de cuentas por cobrar y el responsable del Control. Conocer cuántos clientes maneja la empresa, y su política de cobranza.</t>
  </si>
  <si>
    <t>Verificar si existe numeración o codificación, custodio y como realizan el registro y reporte de cuentas de Activos Fijos  y el responsable del Control.</t>
  </si>
  <si>
    <t>Verificar si tienen un registro o reporte de los Seguros de Activos Fijos  y el responsable del Control.</t>
  </si>
  <si>
    <t>Verificar si tienen un registro o reporte de los Inventario  y el responsable del Control.</t>
  </si>
  <si>
    <t>PROCEDIMIENTOS A SEGUIR</t>
  </si>
  <si>
    <t>ANEXO 1</t>
  </si>
  <si>
    <t>Con respecto al Aspecto Societario la compañía debe presentar los siguientes Libros Societarios descritos a continuación: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</si>
  <si>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fornian FB"/>
        <family val="1"/>
      </rPr>
      <t>Libro de Actas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</si>
  <si>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fornian FB"/>
        <family val="1"/>
      </rPr>
      <t xml:space="preserve">Libro de Expedientes 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</si>
  <si>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fornian FB"/>
        <family val="1"/>
      </rPr>
      <t>Certificado de Aportaciones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</si>
  <si>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fornian FB"/>
        <family val="1"/>
      </rPr>
      <t>Libro de Participaciones</t>
    </r>
  </si>
  <si>
    <r>
      <t>1.- Libro de Actas:</t>
    </r>
    <r>
      <rPr>
        <sz val="12"/>
        <color theme="1"/>
        <rFont val="Californian FB"/>
        <family val="1"/>
      </rPr>
      <t xml:space="preserve"> Este libro debe de constar con todas las actas realizadas por la empresa debidamente foliadas, en orden cronológico, los espacios en blanco debes estar anulados, y deben de constar con las firmas de las personas responsables de la convocatoria a la Junta General de Socios.</t>
    </r>
  </si>
  <si>
    <r>
      <t>2.- Libro de Expedientes:</t>
    </r>
    <r>
      <rPr>
        <sz val="12"/>
        <color theme="1"/>
        <rFont val="Californian FB"/>
        <family val="1"/>
      </rPr>
      <t xml:space="preserve"> Este libro está conformado de la copia del Acta realizada en la Junta General de Socios, con su debido soporte de cada punto tratado en las Actas)</t>
    </r>
  </si>
  <si>
    <r>
      <t>3.- Libro de Certificado de Aportaciones: Este</t>
    </r>
    <r>
      <rPr>
        <sz val="12"/>
        <color theme="1"/>
        <rFont val="Californian FB"/>
        <family val="1"/>
      </rPr>
      <t xml:space="preserve"> libro constara de un talonario, conjuntamente con el certificado de la aportación.)</t>
    </r>
  </si>
  <si>
    <r>
      <t>4.- Libro de Participaciones o Libro de Acciones y Accionistas:</t>
    </r>
    <r>
      <rPr>
        <sz val="12"/>
        <color theme="1"/>
        <rFont val="Californian FB"/>
        <family val="1"/>
      </rPr>
      <t xml:space="preserve"> En este libro societario se detallan el nombre del accionista, la suscripción del capital, el número de acciones pagadas y si existe alguna transferencia de acciones realizada a otro socio)</t>
    </r>
  </si>
  <si>
    <t xml:space="preserve"> </t>
  </si>
  <si>
    <t>1.- LIBRO DE ACTAS / 2.- LIBRO DE EXPEDINETES.</t>
  </si>
  <si>
    <t>Actas que deben estar soportadas y son las mas importantes:</t>
  </si>
  <si>
    <t>x Acta de Aprobacion de Balances y Notas Financieras</t>
  </si>
  <si>
    <t xml:space="preserve">x  Acta de Aprobacion de Informe de Comisario </t>
  </si>
  <si>
    <t>x Acta de Aprobacion de Infore de Auditoria</t>
  </si>
  <si>
    <t xml:space="preserve">x Acta de Contratacion de Comisario </t>
  </si>
  <si>
    <t xml:space="preserve">x Acta de Contratacion de Auditor </t>
  </si>
  <si>
    <t xml:space="preserve">x Acta de Aumento de Capital </t>
  </si>
  <si>
    <t xml:space="preserve">x Acta de Activo Fijo </t>
  </si>
  <si>
    <t xml:space="preserve">x Acta de Baja de Inventario </t>
  </si>
  <si>
    <t>Según El Reglamento De Juntas Generales De Socios Y Accionistas De Compañías.</t>
  </si>
  <si>
    <t>Según la Ley de Superintendencia de Compañías.</t>
  </si>
  <si>
    <r>
      <t>Art. 122:</t>
    </r>
    <r>
      <rPr>
        <sz val="12"/>
        <color theme="1"/>
        <rFont val="Calibri Light"/>
        <family val="2"/>
      </rPr>
      <t xml:space="preserve"> </t>
    </r>
    <r>
      <rPr>
        <i/>
        <sz val="12"/>
        <color theme="1"/>
        <rFont val="Calibri Light"/>
        <family val="2"/>
      </rPr>
      <t>El acta de las deliberaciones y acuerdos de las juntas generales llevará las firmas del presidente y del secretario de la junta.</t>
    </r>
  </si>
  <si>
    <t>… Las actas podrán extenderse a máquina, en hojas debidamente foliadas, o ser asentadas en un libro destinado para el efecto.</t>
  </si>
  <si>
    <t>El Libro de Actas deberá especificar contener, entre otro los siguientes parámetros:</t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</si>
  <si>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Ciudad y lugar donde se efectúa la reunión.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</si>
  <si>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Fecha y hora de la sesión.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</si>
  <si>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Nombre de la sociedad.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</si>
  <si>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Lista de socios o asociados presentes con indicación del número de cuotas o acciones suscritas de cada uno de ellos. Si concurren a través de apoderado, se expresará el nombre de este, y si el socio es persona jurídica o incapaz se indicará en que calidad actúa su representante.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</si>
  <si>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En caso de no estar presente el 100% de los asociados la reunión debe celebrarse en el domicilio y sede social, y en el acta además se expresará: medio utilizado para convocar, antelación y quien realizó la citación a la reunión.</t>
    </r>
  </si>
  <si>
    <t>Los Administradores tendrán la obligación de llevar el libro de actas de acuerdo a lo que señala la ley de compañía en sus artículos:</t>
  </si>
  <si>
    <t>2. Llevar el libro de actas de la junta general;</t>
  </si>
  <si>
    <t>3. Llevar el libro de actas de las juntas de administradores o directorios, consejos de administración o de vigilancia, si los hubiere.</t>
  </si>
  <si>
    <t>3.- LIBRO DE CERTIFICADO DE APORTACIONES.</t>
  </si>
  <si>
    <r>
      <t>Art 177</t>
    </r>
    <r>
      <rPr>
        <b/>
        <i/>
        <sz val="12"/>
        <color rgb="FF000000"/>
        <rFont val="Calibri Light"/>
        <family val="2"/>
      </rPr>
      <t xml:space="preserve"> “</t>
    </r>
    <r>
      <rPr>
        <i/>
        <sz val="12"/>
        <color rgb="FF000000"/>
        <rFont val="Calibri Light"/>
        <family val="2"/>
      </rPr>
      <t>Los títulos y certificados de acciones se extenderán en libros talonarios correlativamente numerados. Entregado el título o el certificado al accionista, éste suscribirá el correspondiente talonario. Los títulos y certificados nominativos se inscribirán, además, en el Libro de Acciones y Accionistas, en el que se anotarán las sucesivas transferencias, la constitución de derechos reales y las demás modificaciones que ocurran respecto al derecho sobre las acciones”</t>
    </r>
  </si>
  <si>
    <r>
      <t xml:space="preserve"> Art 181</t>
    </r>
    <r>
      <rPr>
        <b/>
        <i/>
        <sz val="12"/>
        <color theme="1"/>
        <rFont val="Calibri Light"/>
        <family val="2"/>
      </rPr>
      <t>…</t>
    </r>
    <r>
      <rPr>
        <i/>
        <sz val="12"/>
        <color rgb="FF000000"/>
        <rFont val="Calibri Light"/>
        <family val="2"/>
      </rPr>
      <t xml:space="preserve"> Los certificados deberán ser puestos a disposición de los accionistas que consten en el libro de acciones y accionistas dentro de los quince días hábiles siguientes a la fecha del acuerdo de aumento de capital.</t>
    </r>
  </si>
  <si>
    <t xml:space="preserve">4.- LIBRO DE PARTICIPACIONES O LIBRO  DE ACCIONES y ACCIONISTAS: </t>
  </si>
  <si>
    <r>
      <t>El</t>
    </r>
    <r>
      <rPr>
        <b/>
        <sz val="12"/>
        <color theme="1"/>
        <rFont val="Calibri Light"/>
        <family val="2"/>
      </rPr>
      <t xml:space="preserve"> libro de acciones</t>
    </r>
    <r>
      <rPr>
        <sz val="12"/>
        <color theme="1"/>
        <rFont val="Calibri Light"/>
        <family val="2"/>
      </rPr>
      <t xml:space="preserve"> deberá especificar claramente, entre otro los siguientes aspectos los siguientes parámetros: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</si>
  <si>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 Light"/>
        <family val="2"/>
      </rPr>
      <t>La creación de acciones:</t>
    </r>
    <r>
      <rPr>
        <sz val="12"/>
        <color theme="1"/>
        <rFont val="Calibri Light"/>
        <family val="2"/>
      </rPr>
      <t xml:space="preserve"> Existen dos momentos en los cuales se pueden crear acciones, el primero de ellos cuando se realiza la constitución de la sociedad a través de los aportes de los socios, y el segundo momento se presenta cuando se realiza un aumento de capital. 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</si>
  <si>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 Light"/>
        <family val="2"/>
      </rPr>
      <t>La emisión de acciones:</t>
    </r>
    <r>
      <rPr>
        <sz val="12"/>
        <color theme="1"/>
        <rFont val="Calibri Light"/>
        <family val="2"/>
      </rPr>
      <t xml:space="preserve"> Se emiten una vez que han sido suscritas y pagadas en por lo menos el 25% de su valor nominal.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</si>
  <si>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 Light"/>
        <family val="2"/>
      </rPr>
      <t>Las transferencias:</t>
    </r>
    <r>
      <rPr>
        <sz val="12"/>
        <color theme="1"/>
        <rFont val="Calibri Light"/>
        <family val="2"/>
      </rPr>
      <t xml:space="preserve"> Para que el titular de las acciones –producto de los actos de transferencia, canje pueda asistir a la junta general y ejercer su derecho a voto necesita que las acciones en cuestión figuren inscritas a su nombre en el libro de acciones.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</si>
  <si>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Calibri Light"/>
        <family val="2"/>
      </rPr>
      <t xml:space="preserve">Implementación del Libro de Acciones: </t>
    </r>
    <r>
      <rPr>
        <sz val="12"/>
        <color theme="1"/>
        <rFont val="Calibri Light"/>
        <family val="2"/>
      </rPr>
      <t>Se llevará en un libro especialmente abierto a dicho efecto o en hojas sueltas, debidamente legalizados.</t>
    </r>
  </si>
  <si>
    <t xml:space="preserve">El registro de accionistas debe contener al menos: </t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</si>
  <si>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Nombre y Apellidos.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</si>
  <si>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Dirección del domicilio.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</si>
  <si>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Nacionalidad y documento de identificación.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</si>
  <si>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Acciones suscritas y pagadas.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</si>
  <si>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Títulos expedidos con indicación de la fecha de expedición.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</si>
  <si>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Enajenación o traspaso de las acciones.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</si>
  <si>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Fecha que el accionista suscribe, paga o realiza cualquier negociación de las acciones de la compañía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</si>
  <si>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Valor total del capital suscrito por el accionista.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</si>
  <si>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Número total de acciones suscritas por el accionista.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</si>
  <si>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Pagos parciales hasta que liberen o cubran el 100% de las acciones suscritas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</si>
  <si>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Número de acciones liberadas o pagadas solo cuando se complete el pago total del capital suscrito.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</si>
  <si>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La serie o series que corresponden a las acciones liberadas.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</si>
  <si>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Valor total de las acciones liberadas, el cual debe coincidir con la suma de los pagos parciales.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</si>
  <si>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Nombre de la persona que vendió las acciones.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</si>
  <si>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Número de certificados provisionales o de acciones compradas o vendidas.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</si>
  <si>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 xml:space="preserve">La serie de las acciones compradas o vendidas, 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</si>
  <si>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El valor total de la transferencia realizada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</si>
  <si>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El nombre de la persona que compró la acción o el certificado.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</si>
  <si>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 Light"/>
        <family val="2"/>
      </rPr>
      <t>Firma del Representante Legal de la compañía por cada operación</t>
    </r>
  </si>
  <si>
    <t>Este registro puede ser llevado por cualquier medio siempre que este ofrezca seguridad de que no podrá haber intercalaciones, supresiones u otra adulteración que altere su fidelidad, y que, además permita el inmediato registro o constancia de las anotaciones que deban hacerse y estará, en todo tiempo, disponible para su examen por cualquier accionista o administrador de la sociedad.</t>
  </si>
  <si>
    <t>Según lo que señala la Ley de compañías en sus diferentes artículos como constan a continuación:</t>
  </si>
  <si>
    <r>
      <t xml:space="preserve">Según lo señala el </t>
    </r>
    <r>
      <rPr>
        <b/>
        <sz val="12"/>
        <color theme="1"/>
        <rFont val="Calibri Light"/>
        <family val="2"/>
      </rPr>
      <t>Art. 187.-</t>
    </r>
    <r>
      <rPr>
        <sz val="12"/>
        <color theme="1"/>
        <rFont val="Calibri Light"/>
        <family val="2"/>
      </rPr>
      <t xml:space="preserve"> Se considerará como dueño de las acciones a quien aparezca como tal en el Libro de Acciones y Accionistas, además deberá incluir la salida de los miembros. La obligatoriedad de este libro nace en el momento que se crea la compañía.</t>
    </r>
  </si>
  <si>
    <r>
      <t xml:space="preserve">Art. 187.- </t>
    </r>
    <r>
      <rPr>
        <i/>
        <sz val="12"/>
        <color rgb="FF000000"/>
        <rFont val="Calibri Light"/>
        <family val="2"/>
      </rPr>
      <t>Se considerará como dueño de las acciones a quien aparezca como tal en el Libro de Acciones y Accionistas.</t>
    </r>
  </si>
  <si>
    <r>
      <t>Art. 189</t>
    </r>
    <r>
      <rPr>
        <b/>
        <i/>
        <sz val="12"/>
        <color rgb="FF000000"/>
        <rFont val="Calibri Light"/>
        <family val="2"/>
      </rPr>
      <t xml:space="preserve">.- </t>
    </r>
    <r>
      <rPr>
        <i/>
        <sz val="12"/>
        <color rgb="FF000000"/>
        <rFont val="Calibri Light"/>
        <family val="2"/>
      </rPr>
      <t>La transferencia del dominio de acciones no surtirá efecto contra la compañía ni contra terceros, sino desde la fecha de su inscripción en el Libro de Acciones y Accionistas.</t>
    </r>
  </si>
  <si>
    <t>Los administradores de la organización deben comunicar a la Superintendencia de Compañías, dentro de los ocho días posteriores a la inscripción en los libros correspondientes, las transferencias de acciones o de participaciones, con indicación del nombre y nacionalidad de cedente cesionario.</t>
  </si>
  <si>
    <t>Solicitar un capture de pantalla de cada Reporte Utilizado por el Sistema, y a su vez solicitar en excel los siguientes reportes generado por el sistema:</t>
  </si>
  <si>
    <t>CONTENIDOS</t>
  </si>
  <si>
    <t>LIBROS SOCIETARIOS</t>
  </si>
  <si>
    <t>COMO LLEVAR LOS LIBROS SOCIETARIOS</t>
  </si>
  <si>
    <t xml:space="preserve">Solicitar carpeta de Contratos, Beneficios, entre Otros (VER ANEXO) </t>
  </si>
  <si>
    <t>¿Cuentan con Certificados de Calidad.?</t>
  </si>
  <si>
    <t>¿Preparan prevenciones de niveles de existencias(Inventario y deudores?</t>
  </si>
  <si>
    <t>¿Existe un manual para Contratación o Selección de Trabajadores ( Manual de Reclutamiento y Selección)?</t>
  </si>
  <si>
    <t>¿Existe Rotación de Personal?</t>
  </si>
  <si>
    <t>¿Cuentan con Planes de Capacitación de personal?</t>
  </si>
  <si>
    <t>caja chica</t>
  </si>
  <si>
    <t>¿Manejan un monto para caja chica(de ser el caso describir el monto) Se cumple adecuadamente con las NIF´s y son aplicadas en forma consistente?</t>
  </si>
  <si>
    <t>¿Se realiza arqueos de caja chica?</t>
  </si>
  <si>
    <t>Bancos</t>
  </si>
  <si>
    <t>¿Cuantas cuentas maneja la cuenta Bancos (detallar si son de ahorro o corrientes)?</t>
  </si>
  <si>
    <t>¿El sistema imprime los cheques?</t>
  </si>
  <si>
    <t>¿Se realizan las conciliaciones bancarias en el sistema?</t>
  </si>
  <si>
    <t>Cuentas por Cobrar</t>
  </si>
  <si>
    <t>¿Mantiene provisión para cuentas incobrables?</t>
  </si>
  <si>
    <t>Cuentas por pagar</t>
  </si>
  <si>
    <t>Tienen un principal proveedor(identificar los proveedores principales para la empresa)</t>
  </si>
  <si>
    <t>Ventas</t>
  </si>
  <si>
    <t>¿Las ventas son a crédito o al contado? Plazos, requisitos</t>
  </si>
  <si>
    <t>Compras</t>
  </si>
  <si>
    <t xml:space="preserve">¿Existe un Historial de los proveedores? </t>
  </si>
  <si>
    <t>¿Existe un Stock de seguridad? Cómo se establece'</t>
  </si>
  <si>
    <t>¿Describa el proceso de pagos de las facturas de compras?</t>
  </si>
  <si>
    <t>Activos Fijos</t>
  </si>
  <si>
    <t>¿Cuentan con un seguro de activos fijos (Detallar el nombre de la aseguradora) ?</t>
  </si>
  <si>
    <t>Inventario</t>
  </si>
  <si>
    <t>¿La compañía maneja un libro de actas cumpliendo las disposiciones del art. 122 de la ley de compañías y el art. 34 del Reglamento de Junta General de Socios y Accionistas.?</t>
  </si>
  <si>
    <t>¿Existe un Código de Ética aprobado por la entidad?</t>
  </si>
  <si>
    <t>¿La empresa cuenta con un manual de políticas, procedimientos y descripción de funciones?</t>
  </si>
  <si>
    <t>¿Se cuenta con contratos de trabajo de los empleados de la compañía?</t>
  </si>
  <si>
    <t>¿Cuentan con un Reglamento Interno, y a su vez esta ingresado a la pagina del SUT (Sistema Único de Trabajo)?</t>
  </si>
  <si>
    <t>¿Cuentan con Expedientes personales con documentación completa de los empleados?</t>
  </si>
  <si>
    <t>¿Cuentan con algún método de entrada y salida del personal de la empresa?(sistema informático de digitación táctil o manualmente)</t>
  </si>
  <si>
    <t>¿Existen controles sobre el acceso a las base de datos informáticos?</t>
  </si>
  <si>
    <t xml:space="preserve">¿Están bien entrenados los usuarios de los ordenadores? </t>
  </si>
  <si>
    <t>¿La empresa cuenta con políticas y procedimientos contables?</t>
  </si>
  <si>
    <t>¿Tienen un responsable del monto de caja chica (preguntar el nombre y el cargo dentro de la empresa)?</t>
  </si>
  <si>
    <t>¿Tiene Políticas de cobro(describir el plazo del cobro)?</t>
  </si>
  <si>
    <t>¿Tiene Políticas de pago (describir el plazo del cobro)?</t>
  </si>
  <si>
    <t>¿Como se formalizan las compras( pedido, escrito, telefónicamente) ?</t>
  </si>
  <si>
    <t>¿como realizan los pagos, (efectivo, cheque, transferencia) ?</t>
  </si>
  <si>
    <t>¿Realzan Tomas físicas de activos con frecuencia anual, mensual, trimestral?</t>
  </si>
  <si>
    <t xml:space="preserve">¿Realizan toma física de inventario con las firmas del responsables del conteo de mercadería.? </t>
  </si>
  <si>
    <t>REVISADO</t>
  </si>
  <si>
    <t>El conocimiento del negocio, constituye un requisito fundamental para entender e identificar las actividades, operaciones y negocios de la empresa, su naturaleza, antecedentes, tamaño, organización, objetivos, negocios principales, programas de inversión y crecimientos, proyectos, estrategias, riesgos, ambiente de control, y controles internos establecidos a fin de facilitar el desarrollo de la auditoría.</t>
  </si>
  <si>
    <t>¿¿¿¿¿</t>
  </si>
  <si>
    <t>Requerimientos</t>
  </si>
  <si>
    <t>Información Básica.</t>
  </si>
  <si>
    <t>Misión de la Entidad.</t>
  </si>
  <si>
    <t>1.</t>
  </si>
  <si>
    <t>2.</t>
  </si>
  <si>
    <t>Descripción breve de las funciones, atribuciones y competencias de la entidad.</t>
  </si>
  <si>
    <t>3.</t>
  </si>
  <si>
    <t>Principales Líneas de autoridad</t>
  </si>
  <si>
    <t>4.</t>
  </si>
  <si>
    <t>5.</t>
  </si>
  <si>
    <t>6.</t>
  </si>
  <si>
    <t>Préstamos Recibidos</t>
  </si>
  <si>
    <t>7.</t>
  </si>
  <si>
    <t>Contratos con el estado</t>
  </si>
  <si>
    <t>17.</t>
  </si>
  <si>
    <t>Contingencias, litigios o reclamaciones.</t>
  </si>
  <si>
    <t>8.</t>
  </si>
  <si>
    <t>10.</t>
  </si>
  <si>
    <t>Información de la Auditoría anterior</t>
  </si>
  <si>
    <t>11.</t>
  </si>
  <si>
    <t>12.</t>
  </si>
  <si>
    <t>13.</t>
  </si>
  <si>
    <t>14.</t>
  </si>
  <si>
    <t>15.</t>
  </si>
  <si>
    <t>16.</t>
  </si>
  <si>
    <t>Comercialización-compras</t>
  </si>
  <si>
    <t>Comercialización - ingresos</t>
  </si>
  <si>
    <t>Políticas de crédito y Cobranzas</t>
  </si>
  <si>
    <t>Almacén y Control de Activos</t>
  </si>
  <si>
    <t>Personal y planillas de remuneraciones</t>
  </si>
  <si>
    <t>Control Tributario</t>
  </si>
  <si>
    <t>Producción y control de costos</t>
  </si>
  <si>
    <t>EMPRESA:</t>
  </si>
  <si>
    <t>ELABORADO:</t>
  </si>
  <si>
    <t>REVISADO:</t>
  </si>
  <si>
    <t>APROBADO</t>
  </si>
  <si>
    <t>VERIFICACIÓN DE DOCUMENTOS</t>
  </si>
  <si>
    <t>Patentes Municipales</t>
  </si>
  <si>
    <t>Impuestos Municipales</t>
  </si>
  <si>
    <t>Organigama, departamentos de la compañía</t>
  </si>
  <si>
    <t>18.</t>
  </si>
  <si>
    <t>Principales productos y servicios que ofrece</t>
  </si>
  <si>
    <t>En las actas de asambleas generales de accionistas que deciden sobre los resultados anuales, se hacen constar las cifras en cada caso.</t>
  </si>
  <si>
    <t>¿Se encuentran legalizados los pagos de utilidades, décimo tercer sueldo, décimo cuarto y demás beneficios por ley?</t>
  </si>
  <si>
    <t>El sistema contable ¿Qué reportes genera de Bancos( conciliación, movimientos de banco, no conciliados)?</t>
  </si>
  <si>
    <t xml:space="preserve">¿Existe un Anexo Actualizado de Activos fijos? </t>
  </si>
  <si>
    <t>CCO Tributario al Día</t>
  </si>
  <si>
    <t>¿Se mantiene un archivo o un registro en donde cuenten todos los datos relativos a: - Juicios de cualquier clase. - Contratos, convenios y compromisos - Poderes otorgados - Cuentas por cobrar entregadas a los abogados?</t>
  </si>
  <si>
    <t>¿La empresa está libre de juicioso litigios?</t>
  </si>
  <si>
    <t>Existe archivo completo y ordenado de:-Declaraciones y comprobantes de su presentación y/o pago -Requerimientos fiscales</t>
  </si>
  <si>
    <t>Solicitar o bajar de la Superintendencia el RUP (Sistema Nacional de Contratación Publica) Registro Único de Proveedores.</t>
  </si>
  <si>
    <t>LUAE (Licencia Metropolitana Única para el ejercicio de las actividades económicas. (Si fuera el Caso)</t>
  </si>
  <si>
    <t>Revisar y Analizar que el Libro de Actas cumpla con todo lo dispuesto por la ley de la Superintendencia de Compañías, y este realizado a la vez el Libro de Expedientes que soporte el acta realizada. (VER ANEXO)</t>
  </si>
  <si>
    <t>Revisar y Analizar que el Libro de Certificado de Aportaciones  cumpla con todo lo dispuesto por la ley de la Superintendencia de Compañías. (VER ANEXO)</t>
  </si>
  <si>
    <t>Revisar y Analizar que el Libro De Participaciones O Libro  De Acciones Y Accionistas cumpla con todo lo dispuesto por la ley de la Superintendencia de Compañías. (VER ANEXO)</t>
  </si>
  <si>
    <t>Solicitar contrato de Asesores Legales o Tributarios.</t>
  </si>
  <si>
    <t xml:space="preserve">Acta de Aprobación y Contratación de Auditoria Externa </t>
  </si>
  <si>
    <t>Describir como se realiza el registro y reporte de cuentas por pagar y el responsable del Control. Describir el Proceso de Pago, a los cuantos días realizan el registro y la política de pago.</t>
  </si>
  <si>
    <t>NOMBRE JEFE DE CONTABILIDAD</t>
  </si>
  <si>
    <t>NOMBRE JEFE DE COMPRAS</t>
  </si>
  <si>
    <t>NOMBRE JEFE DE VENTAS</t>
  </si>
  <si>
    <t>NOMBRE DE ABOGADO ASESOR</t>
  </si>
  <si>
    <t>DETALLE DE EJECUTIVOS IMPORTANTES</t>
  </si>
  <si>
    <t>ACTIVOS TOTAL</t>
  </si>
  <si>
    <t>PASIVOS TOTAL</t>
  </si>
  <si>
    <t>PATRIMONIO</t>
  </si>
  <si>
    <t>INGRESOS</t>
  </si>
  <si>
    <t>GASTOS</t>
  </si>
  <si>
    <t>UTILIDAD O PERDIDA</t>
  </si>
  <si>
    <t>IMPUESTO A LA RENTA PAGADO</t>
  </si>
  <si>
    <t>NUMERO DE EMPLEADOS ADMINISTRATIVOS</t>
  </si>
  <si>
    <t>NUMERO DE EMPLEADOS DE PRODUCCIÓN</t>
  </si>
  <si>
    <t>DETALLE DE LITIGIOS A SU FAVOR</t>
  </si>
  <si>
    <t>DETALLE DE LITIGIOS EN CONTRA</t>
  </si>
  <si>
    <t>APROBADO POR:</t>
  </si>
  <si>
    <t>Fecha</t>
  </si>
  <si>
    <t>NÚMERO DE RUC:</t>
  </si>
  <si>
    <t>Elaborado por:</t>
  </si>
  <si>
    <t>____________________________________________________________</t>
  </si>
  <si>
    <t>NOTA FINAL:</t>
  </si>
  <si>
    <t>ESTADOS FINANCIEROS:</t>
  </si>
  <si>
    <t>NOMBRE EMPRESA:</t>
  </si>
  <si>
    <t>FECHA DE CONSTITUCIÓN:</t>
  </si>
  <si>
    <t>TIPO DE SOCIEDAD:</t>
  </si>
  <si>
    <t>CANTIDAD DE SOCIOS:</t>
  </si>
  <si>
    <t>APORTE DE SOCIOS:</t>
  </si>
  <si>
    <t>DIRECCIÓN:</t>
  </si>
  <si>
    <t>CANTIDAD DE SUCURSALES:</t>
  </si>
  <si>
    <t>TELÉFONOS:</t>
  </si>
  <si>
    <t>EMAIL:</t>
  </si>
  <si>
    <t>PAGINA WEB:</t>
  </si>
  <si>
    <t>NOMBRE DEL PRESIDENTE DE LA CIA:</t>
  </si>
  <si>
    <t>NOMBRE DEL GERENTE GENERAL:</t>
  </si>
  <si>
    <t>NOMBRE DEL APODERADO:</t>
  </si>
  <si>
    <t>RECOPILACIÓN DATOS GENERALES DEL CLIENTE</t>
  </si>
  <si>
    <t>CCO Supercias al día</t>
  </si>
  <si>
    <t>INSTRUCCIONES</t>
  </si>
  <si>
    <t>* Debe llenar todos los campos, los items no llenados o vacíos se califican como incumplimiento</t>
  </si>
  <si>
    <t>**********</t>
  </si>
  <si>
    <t>*****</t>
  </si>
  <si>
    <t>Kely Balarezo</t>
  </si>
  <si>
    <t>Papel de Trabajo actualizado septiembre-2022</t>
  </si>
  <si>
    <t>¿Manejan un mecanismos en cuanto al conteo del reporte de Inventario?</t>
  </si>
  <si>
    <t xml:space="preserve">ANTERIOR EN ART. 34 </t>
  </si>
  <si>
    <r>
      <t>Art. 41.- Formas de llevar las actas.-</t>
    </r>
    <r>
      <rPr>
        <sz val="11"/>
        <color theme="1"/>
        <rFont val="Calibri"/>
        <family val="2"/>
        <scheme val="minor"/>
      </rPr>
      <t xml:space="preserve"> Las actas de las juntas generales o asamblea de accionistas se llevarán en un libro especial destinado para el efecto, de forma física o digital. Cuando se trate de un libro físico, se asentarán en hojas foliadas a número seguido, escritas en el anverso y en el reverso, en las cuales, las actas figurarán una a continuación de otra, en riguroso orden cronológico, sin dejar espacios en blanco en su texto. Cuando se trate de un libro digital, se implementarán herramientas tecnológicas como el blockchain, siempre y cuando la información se encuentre organizada en una cadena de bloques o en cualquier otra red de distribución de datos o tecnología de registro y archivo de información virtual, segura y verificable.</t>
    </r>
  </si>
  <si>
    <r>
      <t>Art. 42.- Contenido del Expediente.-</t>
    </r>
    <r>
      <rPr>
        <sz val="11"/>
        <color theme="1"/>
        <rFont val="Calibri"/>
        <family val="2"/>
        <scheme val="minor"/>
      </rPr>
      <t xml:space="preserve"> De cada junta o asamblea se formará un expediente que
contendrá:</t>
    </r>
  </si>
  <si>
    <r>
      <rPr>
        <b/>
        <sz val="11"/>
        <color theme="1"/>
        <rFont val="Calibri"/>
        <family val="2"/>
        <scheme val="minor"/>
      </rPr>
      <t>a)</t>
    </r>
    <r>
      <rPr>
        <sz val="11"/>
        <color theme="1"/>
        <rFont val="Calibri"/>
        <family val="2"/>
        <scheme val="minor"/>
      </rPr>
      <t xml:space="preserve"> La notificación dispuesta en el artículo 2 de este reglamento; y, la hoja del periódico en que conste la publicación de la convocatoria cuando fuere del caso, o el documento que pruebe que la convocatoria además se hizo en la forma complementaria que hubiere previsto el estatuto;</t>
    </r>
  </si>
  <si>
    <r>
      <rPr>
        <b/>
        <sz val="11"/>
        <color theme="1"/>
        <rFont val="Calibri"/>
        <family val="2"/>
        <scheme val="minor"/>
      </rPr>
      <t>b)</t>
    </r>
    <r>
      <rPr>
        <sz val="11"/>
        <color theme="1"/>
        <rFont val="Calibri"/>
        <family val="2"/>
        <scheme val="minor"/>
      </rPr>
      <t xml:space="preserve"> Copias de las convocatorias dirigidas a los comisarios u órganos de fiscalización, si fuere del caso, citándolos a la junta o asamblea;</t>
    </r>
  </si>
  <si>
    <r>
      <rPr>
        <b/>
        <sz val="11"/>
        <color theme="1"/>
        <rFont val="Calibri"/>
        <family val="2"/>
        <scheme val="minor"/>
      </rPr>
      <t>c)</t>
    </r>
    <r>
      <rPr>
        <sz val="11"/>
        <color theme="1"/>
        <rFont val="Calibri"/>
        <family val="2"/>
        <scheme val="minor"/>
      </rPr>
      <t xml:space="preserve"> La lista de los asistentes con la determinación de las participaciones o acciones que representen y, en este último caso, el valor pagado por ellas y los votos que le corresponda; así como, la forma de comparecencia acorde a lo previsto en los artículos 23, 24 y 25 del presente reglamento.</t>
    </r>
  </si>
  <si>
    <r>
      <rPr>
        <b/>
        <sz val="11"/>
        <color theme="1"/>
        <rFont val="Calibri"/>
        <family val="2"/>
        <scheme val="minor"/>
      </rPr>
      <t>d)</t>
    </r>
    <r>
      <rPr>
        <sz val="11"/>
        <color theme="1"/>
        <rFont val="Calibri"/>
        <family val="2"/>
        <scheme val="minor"/>
      </rPr>
      <t xml:space="preserve"> Los nombramientos y poderes de representación entregados para actuar en la junta o asamblea.</t>
    </r>
  </si>
  <si>
    <r>
      <rPr>
        <b/>
        <sz val="11"/>
        <color theme="1"/>
        <rFont val="Calibri"/>
        <family val="2"/>
        <scheme val="minor"/>
      </rPr>
      <t>e)</t>
    </r>
    <r>
      <rPr>
        <sz val="11"/>
        <color theme="1"/>
        <rFont val="Calibri"/>
        <family val="2"/>
        <scheme val="minor"/>
      </rPr>
      <t xml:space="preserve"> Copia del acta certificada por el Secretario de la junta o asamblea dando fe de que el documento es fiel copia del original.</t>
    </r>
  </si>
  <si>
    <r>
      <rPr>
        <b/>
        <sz val="11"/>
        <color theme="1"/>
        <rFont val="Calibri"/>
        <family val="2"/>
        <scheme val="minor"/>
      </rPr>
      <t>f)</t>
    </r>
    <r>
      <rPr>
        <sz val="11"/>
        <color theme="1"/>
        <rFont val="Calibri"/>
        <family val="2"/>
        <scheme val="minor"/>
      </rPr>
      <t xml:space="preserve"> Los demás documentos que hubieren sido conocidos por la junta o asamblea.</t>
    </r>
  </si>
  <si>
    <r>
      <rPr>
        <b/>
        <u/>
        <sz val="11"/>
        <color theme="1"/>
        <rFont val="Calibri"/>
        <family val="2"/>
        <scheme val="minor"/>
      </rPr>
      <t>Art. 43.- Grabacion de las sesiones de junta general o asamblea de accionistas</t>
    </r>
    <r>
      <rPr>
        <sz val="11"/>
        <color theme="1"/>
        <rFont val="Calibri"/>
        <family val="2"/>
        <scheme val="minor"/>
      </rPr>
      <t>.- Todas las sesiones de las juntas generales o asambleas de socios o accionistas, deberán grabarse en soporte magnético o digital y es responsabilidad del Secretario de la junta o asamblea, incorporar el archivo informático al respectivo expediente. No será obligatoria la grabación magnetofónica o digital cuando se trate de juntas o asambleas universales, salvo que un accionista lo solicitare de manera expresa. Cuando se trate de socios o accionistas extranjeros, se podrán implementar medios que permitan la traducción simultánea de las intervenciones de la junta o asamblea, cuando se considere conveniente.</t>
    </r>
  </si>
  <si>
    <t>.-  Las actas podrán extenderse a máquina, en hojas debidamente foliadas, o ser asentadas en un libro destinado para el efecto.</t>
  </si>
  <si>
    <t>4. Entregar a los comisarios y presentar por lo menos cada año a la junta general una memoria razonada acerca de la situación de la compañía, acompañada del balance y del inventario detallado y preciso de las existencias, así como de la cuenta de pérdidas y ganancias. La falta de entrega y presentación oportuna del balance por parte del administrador será motivo para que la junta general acuerde su remoción, sin perjuicio de las responsabilidades en que hubiere incurrido</t>
  </si>
  <si>
    <t>6. Entregar, mediante acta de entrega-recepción y un inventario, los libros sociales, asientos y respaldos contables a quien le suceda en sus funciones de administrador de la compañía o a su liquidador, según corresponda</t>
  </si>
  <si>
    <t>5. Adicional a esta información, en cumplimiento al reglamento sobre juntas generales de socios y accionistas de las compañías de responsabilidad limitada, anónimas, en comandita por acciones y de economía mixta, la compañía deberá:</t>
  </si>
  <si>
    <r>
      <t xml:space="preserve"> -   </t>
    </r>
    <r>
      <rPr>
        <sz val="12"/>
        <color theme="1"/>
        <rFont val="Calibri Light"/>
        <family val="2"/>
        <scheme val="major"/>
      </rPr>
      <t xml:space="preserve"> El expediente contendrá la copia del acta y de los documentos que justifiquen que las convocatorias han sido hechas en la forma señalada en la ley y en los estatutos.</t>
    </r>
  </si>
  <si>
    <t>1. Cuidar, bajo su responsabilidad, que se lleven los libros exigidos por el Código de Comercio y llevar los libros a que se refiere el Art. 440 de esta Ley (Libro de actas de juntas generales, de administradores, de directorios, el libro talonario y el de acciones y accionistas o de participaciones y socios);</t>
  </si>
  <si>
    <t>antes art. 36</t>
  </si>
  <si>
    <r>
      <t>Art. 43.-</t>
    </r>
    <r>
      <rPr>
        <b/>
        <i/>
        <u/>
        <sz val="12"/>
        <color theme="1"/>
        <rFont val="Calibri Light"/>
        <family val="2"/>
      </rPr>
      <t>Grabación de las sesiones de junta general.-</t>
    </r>
    <r>
      <rPr>
        <i/>
        <sz val="12"/>
        <color theme="1"/>
        <rFont val="Calibri Light"/>
        <family val="2"/>
      </rPr>
      <t xml:space="preserve"> Todas las sesiones de las juntas generales de socios o accionistas, deberán grabarse en soporte magnético o digital y es responsabilidad del Secretario de la junta incorporar el archivo informático al respectivo expediente.</t>
    </r>
  </si>
  <si>
    <t>1. El nombre y domicilio principal de la compañía;</t>
  </si>
  <si>
    <t>4. La fecha de la escritura de constitución de la compañía, la notaría en la que se la otorgó y la fecha de inscripción en el Registro Mercantil, con la indicación del tomo, folio y número;</t>
  </si>
  <si>
    <t>5. La indicación del nombre del propietario de las acciones</t>
  </si>
  <si>
    <t>6. Si la acción es ordinaria o preferida y, en este caso, el objeto de la preferencia</t>
  </si>
  <si>
    <t>8. La firma de la persona o personas autorizadas.</t>
  </si>
  <si>
    <r>
      <t>Art. 263.-</t>
    </r>
    <r>
      <rPr>
        <sz val="12"/>
        <color theme="1"/>
        <rFont val="Calibri Light"/>
        <family val="2"/>
      </rPr>
      <t xml:space="preserve"> </t>
    </r>
    <r>
      <rPr>
        <b/>
        <i/>
        <u/>
        <sz val="12"/>
        <color theme="1"/>
        <rFont val="Calibri Light"/>
        <family val="2"/>
      </rPr>
      <t>Los administradores están especialmente obligados a:</t>
    </r>
  </si>
  <si>
    <r>
      <t xml:space="preserve">Art. 176.- </t>
    </r>
    <r>
      <rPr>
        <b/>
        <u/>
        <sz val="12"/>
        <color theme="1"/>
        <rFont val="Calibri Light"/>
        <family val="2"/>
      </rPr>
      <t>Los títulos de acción estarán escritos en idioma castellano y contendrán las siguientes declaraciones:</t>
    </r>
  </si>
  <si>
    <t>2. La cifra representativa del capital autorizado, capital suscrito y el número de acciones en que se divide el capital suscrito</t>
  </si>
  <si>
    <t>3. El número de orden de la acción y del título, si éste representa varias acciones, y la clase a que pertenece;</t>
  </si>
  <si>
    <t xml:space="preserve">4.- LIBRO DE PARTICIPACIONES O LIBRO  DE ACCIONES Y ACCIONISTAS: </t>
  </si>
  <si>
    <r>
      <t>Art. 21.-</t>
    </r>
    <r>
      <rPr>
        <sz val="12"/>
        <color theme="1"/>
        <rFont val="Calibri Light"/>
        <family val="2"/>
      </rPr>
      <t xml:space="preserve"> </t>
    </r>
    <r>
      <rPr>
        <b/>
        <i/>
        <u/>
        <sz val="12"/>
        <color theme="1"/>
        <rFont val="Calibri Light"/>
        <family val="2"/>
      </rPr>
      <t>Las transferencias de acciones y de participaciones de las compañías constituidas en el Ecuador</t>
    </r>
    <r>
      <rPr>
        <i/>
        <sz val="12"/>
        <color theme="1"/>
        <rFont val="Calibri Light"/>
        <family val="2"/>
      </rPr>
      <t>, sujetas a la vigilancia de la Superintendencia de Compañías serán comunicadas a ésta, con indicación de nombre y nacionalidad de cedente y cesionario, por los administradores de la compañía respectiva, dentro de los ocho días posteriores a la inscripción en los libros correspondientes.</t>
    </r>
  </si>
  <si>
    <t>Roy Cisneros</t>
  </si>
  <si>
    <r>
      <t xml:space="preserve">REVISADO: </t>
    </r>
    <r>
      <rPr>
        <b/>
        <sz val="12"/>
        <color rgb="FFFF0000"/>
        <rFont val="Calibri Light"/>
        <family val="2"/>
        <scheme val="major"/>
      </rPr>
      <t>R.C.</t>
    </r>
  </si>
  <si>
    <r>
      <t xml:space="preserve">APROBADO: </t>
    </r>
    <r>
      <rPr>
        <b/>
        <sz val="12"/>
        <color rgb="FFFF0000"/>
        <rFont val="Calibri Light"/>
        <family val="2"/>
        <scheme val="major"/>
      </rPr>
      <t>R.C.</t>
    </r>
  </si>
  <si>
    <t>PERIODO: Del 01 de enero al 31 de Diciembre del 2023</t>
  </si>
  <si>
    <t>TABACALERA MENHURSA S.A.</t>
  </si>
  <si>
    <t>Sociedad Anónima</t>
  </si>
  <si>
    <t>Buena Fé, Avenida 7 de agosto - Recinto Federico Intriago</t>
  </si>
  <si>
    <t xml:space="preserve">0939027611 - 052951049   </t>
  </si>
  <si>
    <t>edumendoza3095@gmail.com</t>
  </si>
  <si>
    <t>MENDOZA HURTADO EDUARDO ISRAEL</t>
  </si>
  <si>
    <t>MENDOZA PALMA ERWIN EDUARDO</t>
  </si>
  <si>
    <t>SOLORZANO MONCADA ALFONSO PROSPERO</t>
  </si>
  <si>
    <t>Del 01 de enero al 31 de diciembre del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</si>
</sst>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;\(#,##0\)"/>
  </numFmts>
  <fonts count="5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i/>
      <sz val="10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Calibri Light"/>
      <family val="2"/>
      <scheme val="major"/>
    </font>
    <font>
      <sz val="16"/>
      <color theme="1"/>
      <name val="Times New Roman"/>
      <family val="1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Times New Roman"/>
      <family val="1"/>
    </font>
    <font>
      <b/>
      <sz val="11"/>
      <color rgb="FFFF0000"/>
      <name val="Calibri Light"/>
      <family val="2"/>
      <scheme val="major"/>
    </font>
    <font>
      <b/>
      <u/>
      <sz val="11"/>
      <color rgb="FF00206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Calibri Light"/>
      <family val="2"/>
    </font>
    <font>
      <b/>
      <i/>
      <u/>
      <sz val="16"/>
      <color theme="1"/>
      <name val="Calibri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fornian FB"/>
      <family val="1"/>
    </font>
    <font>
      <sz val="7"/>
      <color theme="1"/>
      <name val="Times New Roman"/>
      <family val="1"/>
    </font>
    <font>
      <b/>
      <sz val="12"/>
      <color theme="1"/>
      <name val="Californian FB"/>
      <family val="1"/>
    </font>
    <font>
      <b/>
      <sz val="12"/>
      <color rgb="FFFF0000"/>
      <name val="Calibri Light"/>
      <family val="2"/>
    </font>
    <font>
      <b/>
      <u/>
      <sz val="11"/>
      <color theme="1"/>
      <name val="Calibri"/>
      <family val="2"/>
      <scheme val="minor"/>
    </font>
    <font>
      <i/>
      <sz val="12"/>
      <color theme="1"/>
      <name val="Calibri Light"/>
      <family val="2"/>
    </font>
    <font>
      <sz val="12"/>
      <color theme="1"/>
      <name val="Arial"/>
      <family val="2"/>
    </font>
    <font>
      <b/>
      <u/>
      <sz val="12"/>
      <color theme="1"/>
      <name val="Calibri Light"/>
      <family val="2"/>
    </font>
    <font>
      <b/>
      <i/>
      <u/>
      <sz val="12"/>
      <color theme="1"/>
      <name val="Calibri Light"/>
      <family val="2"/>
    </font>
    <font>
      <b/>
      <sz val="12"/>
      <color rgb="FF000000"/>
      <name val="Calibri Light"/>
      <family val="2"/>
    </font>
    <font>
      <b/>
      <i/>
      <sz val="12"/>
      <color rgb="FF000000"/>
      <name val="Calibri Light"/>
      <family val="2"/>
    </font>
    <font>
      <i/>
      <sz val="12"/>
      <color rgb="FF000000"/>
      <name val="Calibri Light"/>
      <family val="2"/>
    </font>
    <font>
      <b/>
      <i/>
      <sz val="12"/>
      <color theme="1"/>
      <name val="Calibri Light"/>
      <family val="2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ext"/>
    </font>
    <font>
      <b/>
      <sz val="11"/>
      <color theme="1"/>
      <name val="Text"/>
    </font>
    <font>
      <b/>
      <u/>
      <sz val="11"/>
      <color theme="1"/>
      <name val="Calibri Light"/>
      <family val="2"/>
      <scheme val="maj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i/>
      <sz val="11"/>
      <color theme="1"/>
      <name val="Calibri"/>
      <family val="2"/>
      <scheme val="minor"/>
    </font>
    <font>
      <b/>
      <i/>
      <sz val="10"/>
      <color rgb="FFFF0000"/>
      <name val="Calibri Light"/>
      <family val="2"/>
      <scheme val="major"/>
    </font>
    <font>
      <i/>
      <sz val="10"/>
      <color rgb="FFFF0000"/>
      <name val="Calibri Light"/>
      <family val="2"/>
      <scheme val="major"/>
    </font>
    <font>
      <i/>
      <sz val="10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8" fillId="0" borderId="0"/>
    <xf numFmtId="9" fontId="24" fillId="0" borderId="0" applyFont="0" applyFill="0" applyBorder="0" applyAlignment="0" applyProtection="0"/>
    <xf numFmtId="0" fontId="8" fillId="0" borderId="0"/>
    <xf numFmtId="0" fontId="42" fillId="0" borderId="0" applyNumberFormat="0" applyFill="0" applyBorder="0" applyAlignment="0" applyProtection="0"/>
  </cellStyleXfs>
  <cellXfs count="282">
    <xf numFmtId="0" fontId="0" fillId="0" borderId="0" xfId="0"/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textRotation="255"/>
    </xf>
    <xf numFmtId="0" fontId="9" fillId="0" borderId="0" xfId="0" applyFont="1"/>
    <xf numFmtId="0" fontId="10" fillId="0" borderId="0" xfId="0" applyFont="1"/>
    <xf numFmtId="0" fontId="12" fillId="0" borderId="0" xfId="0" applyFont="1"/>
    <xf numFmtId="0" fontId="0" fillId="0" borderId="0" xfId="0" applyBorder="1"/>
    <xf numFmtId="0" fontId="9" fillId="0" borderId="0" xfId="0" applyFont="1" applyBorder="1" applyAlignment="1">
      <alignment textRotation="255"/>
    </xf>
    <xf numFmtId="49" fontId="14" fillId="0" borderId="0" xfId="0" applyNumberFormat="1" applyFont="1" applyBorder="1"/>
    <xf numFmtId="0" fontId="15" fillId="0" borderId="0" xfId="0" applyFont="1" applyBorder="1" applyAlignment="1">
      <alignment textRotation="255"/>
    </xf>
    <xf numFmtId="0" fontId="15" fillId="0" borderId="0" xfId="0" applyFont="1" applyBorder="1"/>
    <xf numFmtId="0" fontId="13" fillId="0" borderId="0" xfId="0" applyFont="1" applyBorder="1" applyAlignment="1">
      <alignment textRotation="255"/>
    </xf>
    <xf numFmtId="0" fontId="14" fillId="0" borderId="0" xfId="0" applyFont="1" applyBorder="1"/>
    <xf numFmtId="0" fontId="16" fillId="0" borderId="0" xfId="0" applyFont="1" applyBorder="1" applyAlignment="1">
      <alignment textRotation="255"/>
    </xf>
    <xf numFmtId="0" fontId="4" fillId="0" borderId="0" xfId="0" applyFont="1" applyBorder="1"/>
    <xf numFmtId="49" fontId="4" fillId="0" borderId="0" xfId="0" applyNumberFormat="1" applyFont="1" applyBorder="1"/>
    <xf numFmtId="0" fontId="7" fillId="0" borderId="4" xfId="0" applyFont="1" applyBorder="1" applyAlignment="1">
      <alignment horizontal="left"/>
    </xf>
    <xf numFmtId="0" fontId="5" fillId="0" borderId="5" xfId="0" applyFont="1" applyBorder="1" applyAlignment="1">
      <alignment horizontal="right"/>
    </xf>
    <xf numFmtId="0" fontId="2" fillId="0" borderId="6" xfId="0" applyFont="1" applyBorder="1"/>
    <xf numFmtId="0" fontId="17" fillId="0" borderId="0" xfId="0" applyFont="1" applyBorder="1"/>
    <xf numFmtId="0" fontId="18" fillId="0" borderId="0" xfId="0" applyFont="1" applyBorder="1"/>
    <xf numFmtId="49" fontId="19" fillId="0" borderId="0" xfId="0" applyNumberFormat="1" applyFont="1" applyBorder="1"/>
    <xf numFmtId="0" fontId="12" fillId="0" borderId="0" xfId="0" applyFont="1" applyBorder="1"/>
    <xf numFmtId="0" fontId="17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wrapText="1"/>
    </xf>
    <xf numFmtId="164" fontId="11" fillId="0" borderId="0" xfId="1" applyNumberFormat="1" applyFont="1" applyFill="1" applyBorder="1" applyAlignment="1">
      <alignment vertical="top" wrapText="1"/>
    </xf>
    <xf numFmtId="0" fontId="9" fillId="0" borderId="0" xfId="0" applyFont="1" applyAlignment="1"/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vertical="top"/>
    </xf>
    <xf numFmtId="49" fontId="14" fillId="0" borderId="0" xfId="0" applyNumberFormat="1" applyFont="1" applyBorder="1" applyAlignment="1">
      <alignment vertical="top"/>
    </xf>
    <xf numFmtId="49" fontId="19" fillId="0" borderId="0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7" fillId="0" borderId="7" xfId="0" applyFont="1" applyBorder="1" applyAlignment="1">
      <alignment textRotation="255"/>
    </xf>
    <xf numFmtId="0" fontId="9" fillId="0" borderId="7" xfId="0" applyFont="1" applyBorder="1" applyAlignment="1">
      <alignment textRotation="255"/>
    </xf>
    <xf numFmtId="0" fontId="23" fillId="0" borderId="0" xfId="0" applyFont="1" applyBorder="1" applyAlignment="1">
      <alignment horizontal="center"/>
    </xf>
    <xf numFmtId="0" fontId="9" fillId="0" borderId="0" xfId="0" applyFont="1" applyBorder="1"/>
    <xf numFmtId="0" fontId="20" fillId="0" borderId="0" xfId="0" applyFont="1" applyBorder="1" applyAlignment="1">
      <alignment horizontal="center"/>
    </xf>
    <xf numFmtId="0" fontId="9" fillId="0" borderId="7" xfId="0" quotePrefix="1" applyFont="1" applyBorder="1" applyAlignment="1">
      <alignment textRotation="255"/>
    </xf>
    <xf numFmtId="0" fontId="20" fillId="0" borderId="0" xfId="0" applyFont="1" applyBorder="1" applyAlignment="1"/>
    <xf numFmtId="0" fontId="9" fillId="0" borderId="11" xfId="0" applyFont="1" applyBorder="1" applyAlignment="1">
      <alignment textRotation="255"/>
    </xf>
    <xf numFmtId="0" fontId="0" fillId="0" borderId="12" xfId="0" applyBorder="1"/>
    <xf numFmtId="0" fontId="0" fillId="0" borderId="12" xfId="0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0" fillId="0" borderId="5" xfId="0" applyBorder="1"/>
    <xf numFmtId="0" fontId="9" fillId="0" borderId="5" xfId="0" applyFont="1" applyBorder="1"/>
    <xf numFmtId="0" fontId="12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" fillId="0" borderId="5" xfId="0" applyFont="1" applyBorder="1"/>
    <xf numFmtId="0" fontId="22" fillId="0" borderId="5" xfId="0" applyFont="1" applyBorder="1" applyAlignment="1"/>
    <xf numFmtId="0" fontId="12" fillId="0" borderId="5" xfId="0" applyFont="1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vertical="top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7" xfId="0" applyBorder="1"/>
    <xf numFmtId="0" fontId="0" fillId="0" borderId="0" xfId="0" applyBorder="1" applyAlignment="1">
      <alignment vertical="top"/>
    </xf>
    <xf numFmtId="0" fontId="0" fillId="0" borderId="19" xfId="0" applyBorder="1"/>
    <xf numFmtId="0" fontId="0" fillId="0" borderId="11" xfId="0" applyBorder="1"/>
    <xf numFmtId="0" fontId="0" fillId="0" borderId="12" xfId="0" applyBorder="1" applyAlignment="1">
      <alignment vertical="top"/>
    </xf>
    <xf numFmtId="0" fontId="0" fillId="0" borderId="20" xfId="0" applyBorder="1"/>
    <xf numFmtId="0" fontId="12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top"/>
    </xf>
    <xf numFmtId="0" fontId="12" fillId="4" borderId="5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9" fillId="4" borderId="0" xfId="0" applyFont="1" applyFill="1" applyBorder="1"/>
    <xf numFmtId="0" fontId="9" fillId="4" borderId="5" xfId="0" applyFont="1" applyFill="1" applyBorder="1"/>
    <xf numFmtId="0" fontId="20" fillId="4" borderId="5" xfId="0" applyFont="1" applyFill="1" applyBorder="1" applyAlignment="1">
      <alignment horizontal="center"/>
    </xf>
    <xf numFmtId="0" fontId="20" fillId="4" borderId="0" xfId="0" applyFont="1" applyFill="1" applyBorder="1" applyAlignment="1">
      <alignment horizontal="center"/>
    </xf>
    <xf numFmtId="0" fontId="0" fillId="4" borderId="5" xfId="0" applyFill="1" applyBorder="1"/>
    <xf numFmtId="0" fontId="23" fillId="4" borderId="0" xfId="0" applyFont="1" applyFill="1" applyBorder="1" applyAlignment="1">
      <alignment horizontal="center"/>
    </xf>
    <xf numFmtId="164" fontId="11" fillId="4" borderId="5" xfId="1" applyNumberFormat="1" applyFont="1" applyFill="1" applyBorder="1" applyAlignment="1">
      <alignment vertical="top" wrapText="1"/>
    </xf>
    <xf numFmtId="164" fontId="20" fillId="4" borderId="0" xfId="1" applyNumberFormat="1" applyFont="1" applyFill="1" applyBorder="1" applyAlignment="1">
      <alignment vertical="top"/>
    </xf>
    <xf numFmtId="0" fontId="22" fillId="4" borderId="5" xfId="0" applyFont="1" applyFill="1" applyBorder="1" applyAlignment="1"/>
    <xf numFmtId="0" fontId="20" fillId="4" borderId="0" xfId="0" applyFont="1" applyFill="1" applyBorder="1" applyAlignment="1"/>
    <xf numFmtId="0" fontId="22" fillId="0" borderId="5" xfId="0" applyFont="1" applyFill="1" applyBorder="1" applyAlignment="1"/>
    <xf numFmtId="0" fontId="12" fillId="0" borderId="5" xfId="0" applyFont="1" applyFill="1" applyBorder="1" applyAlignment="1">
      <alignment horizontal="center" vertical="top"/>
    </xf>
    <xf numFmtId="0" fontId="20" fillId="0" borderId="5" xfId="0" applyFont="1" applyFill="1" applyBorder="1" applyAlignment="1">
      <alignment horizontal="center"/>
    </xf>
    <xf numFmtId="0" fontId="20" fillId="0" borderId="0" xfId="0" applyFont="1" applyFill="1" applyBorder="1" applyAlignment="1"/>
    <xf numFmtId="0" fontId="12" fillId="0" borderId="5" xfId="0" applyFont="1" applyFill="1" applyBorder="1" applyAlignment="1">
      <alignment horizontal="center" vertical="center" wrapText="1"/>
    </xf>
    <xf numFmtId="0" fontId="9" fillId="0" borderId="0" xfId="0" applyFont="1" applyFill="1" applyBorder="1"/>
    <xf numFmtId="0" fontId="0" fillId="0" borderId="5" xfId="0" applyFill="1" applyBorder="1"/>
    <xf numFmtId="0" fontId="22" fillId="4" borderId="5" xfId="0" applyFont="1" applyFill="1" applyBorder="1"/>
    <xf numFmtId="0" fontId="22" fillId="0" borderId="0" xfId="0" applyFont="1"/>
    <xf numFmtId="0" fontId="22" fillId="0" borderId="0" xfId="0" applyFont="1" applyAlignment="1">
      <alignment vertical="top"/>
    </xf>
    <xf numFmtId="0" fontId="22" fillId="0" borderId="0" xfId="0" applyFont="1" applyAlignment="1">
      <alignment horizontal="center"/>
    </xf>
    <xf numFmtId="0" fontId="25" fillId="0" borderId="0" xfId="0" applyFont="1"/>
    <xf numFmtId="0" fontId="25" fillId="0" borderId="21" xfId="0" applyFont="1" applyBorder="1"/>
    <xf numFmtId="9" fontId="0" fillId="0" borderId="17" xfId="2" applyFont="1" applyBorder="1"/>
    <xf numFmtId="9" fontId="22" fillId="0" borderId="0" xfId="0" applyNumberFormat="1" applyFont="1"/>
    <xf numFmtId="0" fontId="7" fillId="0" borderId="0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2" fillId="0" borderId="18" xfId="0" applyFont="1" applyBorder="1"/>
    <xf numFmtId="0" fontId="7" fillId="0" borderId="7" xfId="0" applyFont="1" applyBorder="1" applyAlignment="1">
      <alignment horizontal="left"/>
    </xf>
    <xf numFmtId="0" fontId="2" fillId="0" borderId="19" xfId="0" applyFont="1" applyBorder="1"/>
    <xf numFmtId="0" fontId="5" fillId="0" borderId="7" xfId="0" applyFont="1" applyBorder="1" applyAlignment="1">
      <alignment horizontal="right"/>
    </xf>
    <xf numFmtId="0" fontId="2" fillId="0" borderId="11" xfId="0" applyFont="1" applyBorder="1"/>
    <xf numFmtId="0" fontId="2" fillId="0" borderId="20" xfId="0" applyFont="1" applyBorder="1"/>
    <xf numFmtId="49" fontId="2" fillId="0" borderId="0" xfId="0" applyNumberFormat="1" applyFont="1" applyBorder="1" applyAlignment="1">
      <alignment vertical="top"/>
    </xf>
    <xf numFmtId="49" fontId="2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textRotation="255"/>
    </xf>
    <xf numFmtId="0" fontId="2" fillId="0" borderId="0" xfId="0" applyFont="1" applyBorder="1" applyAlignment="1">
      <alignment textRotation="255"/>
    </xf>
    <xf numFmtId="0" fontId="2" fillId="0" borderId="0" xfId="0" applyFont="1" applyAlignment="1">
      <alignment textRotation="255"/>
    </xf>
    <xf numFmtId="0" fontId="4" fillId="0" borderId="7" xfId="0" applyFont="1" applyBorder="1"/>
    <xf numFmtId="0" fontId="7" fillId="0" borderId="7" xfId="0" applyFont="1" applyBorder="1"/>
    <xf numFmtId="0" fontId="7" fillId="0" borderId="19" xfId="0" applyFont="1" applyBorder="1" applyAlignment="1">
      <alignment horizontal="center"/>
    </xf>
    <xf numFmtId="0" fontId="18" fillId="0" borderId="7" xfId="0" applyFont="1" applyBorder="1"/>
    <xf numFmtId="0" fontId="17" fillId="0" borderId="7" xfId="0" applyFont="1" applyBorder="1"/>
    <xf numFmtId="0" fontId="10" fillId="0" borderId="7" xfId="0" applyFont="1" applyBorder="1"/>
    <xf numFmtId="0" fontId="9" fillId="0" borderId="0" xfId="0" applyFont="1" applyBorder="1" applyAlignment="1">
      <alignment vertical="top"/>
    </xf>
    <xf numFmtId="0" fontId="9" fillId="0" borderId="0" xfId="0" applyFont="1" applyBorder="1" applyAlignment="1"/>
    <xf numFmtId="0" fontId="9" fillId="0" borderId="0" xfId="0" applyFont="1" applyBorder="1" applyAlignment="1">
      <alignment horizontal="center"/>
    </xf>
    <xf numFmtId="0" fontId="9" fillId="0" borderId="19" xfId="0" applyFont="1" applyBorder="1"/>
    <xf numFmtId="0" fontId="9" fillId="0" borderId="7" xfId="0" applyFont="1" applyBorder="1" applyAlignment="1">
      <alignment wrapText="1"/>
    </xf>
    <xf numFmtId="0" fontId="9" fillId="0" borderId="0" xfId="0" applyFont="1" applyBorder="1" applyAlignment="1">
      <alignment vertical="top" wrapText="1"/>
    </xf>
    <xf numFmtId="0" fontId="9" fillId="0" borderId="0" xfId="0" applyFont="1" applyBorder="1" applyAlignment="1">
      <alignment wrapText="1"/>
    </xf>
    <xf numFmtId="0" fontId="9" fillId="0" borderId="19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12" xfId="0" applyFont="1" applyBorder="1" applyAlignment="1">
      <alignment vertical="top" wrapText="1"/>
    </xf>
    <xf numFmtId="0" fontId="9" fillId="0" borderId="12" xfId="0" applyFont="1" applyBorder="1" applyAlignment="1"/>
    <xf numFmtId="0" fontId="9" fillId="0" borderId="12" xfId="0" applyFont="1" applyBorder="1" applyAlignment="1">
      <alignment wrapText="1"/>
    </xf>
    <xf numFmtId="0" fontId="9" fillId="0" borderId="20" xfId="0" applyFont="1" applyBorder="1" applyAlignment="1">
      <alignment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justify" vertical="center"/>
    </xf>
    <xf numFmtId="0" fontId="31" fillId="0" borderId="0" xfId="0" applyFont="1" applyAlignment="1">
      <alignment horizontal="justify" vertical="center"/>
    </xf>
    <xf numFmtId="0" fontId="32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1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26" fillId="0" borderId="0" xfId="0" applyFont="1" applyAlignment="1">
      <alignment horizontal="justify" vertical="center"/>
    </xf>
    <xf numFmtId="0" fontId="28" fillId="0" borderId="0" xfId="0" applyFont="1" applyAlignment="1">
      <alignment horizontal="justify" vertical="center"/>
    </xf>
    <xf numFmtId="0" fontId="34" fillId="0" borderId="0" xfId="0" applyFont="1" applyAlignment="1">
      <alignment horizontal="justify" vertical="center"/>
    </xf>
    <xf numFmtId="0" fontId="35" fillId="0" borderId="0" xfId="0" applyFont="1" applyAlignment="1">
      <alignment horizontal="justify" vertical="center"/>
    </xf>
    <xf numFmtId="0" fontId="0" fillId="0" borderId="0" xfId="0" applyAlignment="1">
      <alignment vertical="center"/>
    </xf>
    <xf numFmtId="0" fontId="36" fillId="0" borderId="0" xfId="0" applyFont="1" applyAlignment="1">
      <alignment horizontal="justify" vertical="center"/>
    </xf>
    <xf numFmtId="0" fontId="38" fillId="0" borderId="0" xfId="0" applyFont="1" applyAlignment="1">
      <alignment horizontal="justify" vertical="center"/>
    </xf>
    <xf numFmtId="0" fontId="40" fillId="0" borderId="0" xfId="0" applyFont="1" applyAlignment="1">
      <alignment horizontal="justify" vertical="center"/>
    </xf>
    <xf numFmtId="0" fontId="42" fillId="0" borderId="0" xfId="4"/>
    <xf numFmtId="0" fontId="28" fillId="4" borderId="25" xfId="0" applyFont="1" applyFill="1" applyBorder="1" applyAlignment="1">
      <alignment horizontal="center" vertical="center"/>
    </xf>
    <xf numFmtId="0" fontId="10" fillId="0" borderId="26" xfId="0" applyFont="1" applyBorder="1"/>
    <xf numFmtId="164" fontId="11" fillId="0" borderId="0" xfId="1" applyNumberFormat="1" applyFont="1" applyFill="1" applyBorder="1" applyAlignment="1">
      <alignment horizontal="justify" vertical="top"/>
    </xf>
    <xf numFmtId="0" fontId="7" fillId="0" borderId="0" xfId="0" applyFont="1" applyBorder="1"/>
    <xf numFmtId="0" fontId="11" fillId="0" borderId="7" xfId="3" applyFont="1" applyFill="1" applyBorder="1" applyAlignment="1">
      <alignment horizontal="justify" vertical="center" wrapText="1"/>
    </xf>
    <xf numFmtId="0" fontId="10" fillId="0" borderId="0" xfId="0" applyFont="1" applyBorder="1"/>
    <xf numFmtId="0" fontId="9" fillId="0" borderId="7" xfId="0" applyFont="1" applyBorder="1"/>
    <xf numFmtId="0" fontId="1" fillId="0" borderId="7" xfId="0" applyFont="1" applyBorder="1"/>
    <xf numFmtId="0" fontId="2" fillId="0" borderId="5" xfId="0" applyFont="1" applyBorder="1"/>
    <xf numFmtId="0" fontId="7" fillId="0" borderId="10" xfId="0" applyFont="1" applyBorder="1" applyAlignment="1">
      <alignment vertical="top" textRotation="255"/>
    </xf>
    <xf numFmtId="0" fontId="12" fillId="0" borderId="8" xfId="0" applyFont="1" applyBorder="1" applyAlignment="1">
      <alignment horizontal="center" vertical="top"/>
    </xf>
    <xf numFmtId="0" fontId="12" fillId="0" borderId="8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2" fillId="0" borderId="0" xfId="0" applyFont="1" applyAlignment="1">
      <alignment vertical="top"/>
    </xf>
    <xf numFmtId="0" fontId="0" fillId="5" borderId="0" xfId="0" applyFill="1"/>
    <xf numFmtId="0" fontId="0" fillId="5" borderId="0" xfId="0" applyFill="1" applyBorder="1"/>
    <xf numFmtId="0" fontId="0" fillId="0" borderId="0" xfId="0" applyAlignment="1">
      <alignment textRotation="255"/>
    </xf>
    <xf numFmtId="49" fontId="44" fillId="5" borderId="0" xfId="0" applyNumberFormat="1" applyFont="1" applyFill="1"/>
    <xf numFmtId="49" fontId="44" fillId="0" borderId="0" xfId="0" applyNumberFormat="1" applyFont="1"/>
    <xf numFmtId="49" fontId="44" fillId="0" borderId="10" xfId="0" applyNumberFormat="1" applyFont="1" applyBorder="1"/>
    <xf numFmtId="49" fontId="44" fillId="0" borderId="7" xfId="0" applyNumberFormat="1" applyFont="1" applyBorder="1"/>
    <xf numFmtId="49" fontId="44" fillId="0" borderId="11" xfId="0" applyNumberFormat="1" applyFont="1" applyBorder="1"/>
    <xf numFmtId="49" fontId="44" fillId="0" borderId="0" xfId="0" applyNumberFormat="1" applyFont="1" applyBorder="1"/>
    <xf numFmtId="49" fontId="45" fillId="0" borderId="0" xfId="0" applyNumberFormat="1" applyFont="1"/>
    <xf numFmtId="0" fontId="7" fillId="0" borderId="0" xfId="0" applyFont="1" applyFill="1" applyAlignment="1">
      <alignment textRotation="255"/>
    </xf>
    <xf numFmtId="49" fontId="7" fillId="0" borderId="0" xfId="0" applyNumberFormat="1" applyFont="1" applyFill="1"/>
    <xf numFmtId="0" fontId="7" fillId="0" borderId="0" xfId="0" applyFont="1" applyFill="1"/>
    <xf numFmtId="0" fontId="7" fillId="0" borderId="0" xfId="0" applyFont="1" applyFill="1" applyBorder="1"/>
    <xf numFmtId="49" fontId="7" fillId="0" borderId="10" xfId="0" applyNumberFormat="1" applyFont="1" applyFill="1" applyBorder="1"/>
    <xf numFmtId="0" fontId="7" fillId="0" borderId="17" xfId="0" applyFont="1" applyFill="1" applyBorder="1"/>
    <xf numFmtId="0" fontId="7" fillId="0" borderId="18" xfId="0" applyFont="1" applyFill="1" applyBorder="1"/>
    <xf numFmtId="49" fontId="7" fillId="0" borderId="7" xfId="0" applyNumberFormat="1" applyFont="1" applyFill="1" applyBorder="1"/>
    <xf numFmtId="0" fontId="7" fillId="0" borderId="19" xfId="0" applyFont="1" applyFill="1" applyBorder="1"/>
    <xf numFmtId="49" fontId="7" fillId="0" borderId="11" xfId="0" applyNumberFormat="1" applyFont="1" applyFill="1" applyBorder="1"/>
    <xf numFmtId="0" fontId="7" fillId="0" borderId="12" xfId="0" applyFont="1" applyFill="1" applyBorder="1"/>
    <xf numFmtId="0" fontId="7" fillId="0" borderId="20" xfId="0" applyFont="1" applyFill="1" applyBorder="1"/>
    <xf numFmtId="164" fontId="43" fillId="4" borderId="0" xfId="1" applyNumberFormat="1" applyFont="1" applyFill="1" applyBorder="1" applyAlignment="1">
      <alignment horizontal="justify" vertical="top"/>
    </xf>
    <xf numFmtId="0" fontId="0" fillId="0" borderId="0" xfId="0" applyAlignment="1">
      <alignment horizontal="justify" vertical="top" wrapText="1"/>
    </xf>
    <xf numFmtId="0" fontId="4" fillId="0" borderId="0" xfId="0" applyFont="1" applyBorder="1" applyAlignment="1">
      <alignment horizontal="left"/>
    </xf>
    <xf numFmtId="0" fontId="1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12" fillId="0" borderId="0" xfId="0" applyFont="1" applyBorder="1" applyAlignment="1">
      <alignment horizontal="center" vertical="top"/>
    </xf>
    <xf numFmtId="0" fontId="12" fillId="4" borderId="0" xfId="0" applyFont="1" applyFill="1" applyBorder="1" applyAlignment="1">
      <alignment horizontal="center" vertical="center"/>
    </xf>
    <xf numFmtId="0" fontId="0" fillId="4" borderId="0" xfId="0" applyFill="1" applyBorder="1"/>
    <xf numFmtId="0" fontId="0" fillId="0" borderId="0" xfId="0" applyFill="1" applyBorder="1"/>
    <xf numFmtId="0" fontId="4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0" fontId="15" fillId="2" borderId="0" xfId="0" applyFont="1" applyFill="1" applyBorder="1" applyAlignment="1"/>
    <xf numFmtId="14" fontId="2" fillId="0" borderId="0" xfId="0" applyNumberFormat="1" applyFont="1" applyBorder="1"/>
    <xf numFmtId="0" fontId="15" fillId="0" borderId="0" xfId="0" applyFont="1" applyFill="1" applyBorder="1" applyAlignment="1"/>
    <xf numFmtId="0" fontId="15" fillId="0" borderId="18" xfId="0" applyFont="1" applyFill="1" applyBorder="1" applyAlignment="1"/>
    <xf numFmtId="0" fontId="4" fillId="0" borderId="19" xfId="0" applyFont="1" applyBorder="1" applyAlignment="1"/>
    <xf numFmtId="0" fontId="14" fillId="0" borderId="19" xfId="0" applyFont="1" applyBorder="1"/>
    <xf numFmtId="0" fontId="7" fillId="0" borderId="11" xfId="0" applyFont="1" applyBorder="1"/>
    <xf numFmtId="0" fontId="7" fillId="0" borderId="12" xfId="0" applyFont="1" applyBorder="1" applyAlignment="1">
      <alignment horizontal="left"/>
    </xf>
    <xf numFmtId="49" fontId="19" fillId="0" borderId="12" xfId="0" applyNumberFormat="1" applyFont="1" applyBorder="1" applyAlignment="1">
      <alignment vertical="top"/>
    </xf>
    <xf numFmtId="14" fontId="2" fillId="0" borderId="12" xfId="0" applyNumberFormat="1" applyFont="1" applyBorder="1"/>
    <xf numFmtId="0" fontId="47" fillId="0" borderId="16" xfId="0" applyFont="1" applyBorder="1"/>
    <xf numFmtId="0" fontId="47" fillId="0" borderId="0" xfId="0" applyFont="1"/>
    <xf numFmtId="0" fontId="47" fillId="0" borderId="0" xfId="0" applyFont="1" applyFill="1" applyBorder="1"/>
    <xf numFmtId="0" fontId="48" fillId="0" borderId="0" xfId="0" applyFont="1"/>
    <xf numFmtId="0" fontId="0" fillId="0" borderId="10" xfId="0" applyBorder="1"/>
    <xf numFmtId="0" fontId="47" fillId="0" borderId="30" xfId="0" applyFont="1" applyBorder="1"/>
    <xf numFmtId="0" fontId="47" fillId="0" borderId="33" xfId="0" applyFont="1" applyBorder="1"/>
    <xf numFmtId="0" fontId="47" fillId="0" borderId="0" xfId="0" applyFont="1" applyBorder="1"/>
    <xf numFmtId="0" fontId="49" fillId="0" borderId="16" xfId="0" applyFont="1" applyBorder="1"/>
    <xf numFmtId="9" fontId="50" fillId="0" borderId="0" xfId="2" applyFont="1"/>
    <xf numFmtId="0" fontId="50" fillId="0" borderId="0" xfId="0" applyFont="1"/>
    <xf numFmtId="0" fontId="51" fillId="0" borderId="0" xfId="0" applyFont="1" applyBorder="1"/>
    <xf numFmtId="0" fontId="51" fillId="0" borderId="0" xfId="0" applyFont="1" applyFill="1"/>
    <xf numFmtId="0" fontId="52" fillId="0" borderId="0" xfId="0" applyFont="1" applyBorder="1"/>
    <xf numFmtId="0" fontId="53" fillId="0" borderId="0" xfId="0" applyFont="1" applyBorder="1"/>
    <xf numFmtId="0" fontId="12" fillId="7" borderId="8" xfId="0" applyFont="1" applyFill="1" applyBorder="1"/>
    <xf numFmtId="0" fontId="20" fillId="4" borderId="16" xfId="0" applyFont="1" applyFill="1" applyBorder="1" applyAlignment="1">
      <alignment horizontal="center"/>
    </xf>
    <xf numFmtId="0" fontId="33" fillId="0" borderId="0" xfId="0" applyFont="1" applyAlignment="1">
      <alignment horizontal="justify" vertical="center" wrapText="1"/>
    </xf>
    <xf numFmtId="0" fontId="21" fillId="0" borderId="0" xfId="0" applyFont="1" applyAlignment="1">
      <alignment horizontal="left" vertical="center"/>
    </xf>
    <xf numFmtId="0" fontId="0" fillId="0" borderId="0" xfId="0" applyFont="1" applyAlignment="1">
      <alignment horizontal="justify" vertical="center" wrapText="1"/>
    </xf>
    <xf numFmtId="0" fontId="26" fillId="0" borderId="0" xfId="0" applyFont="1" applyAlignment="1">
      <alignment horizontal="justify" vertical="center" wrapText="1"/>
    </xf>
    <xf numFmtId="0" fontId="23" fillId="0" borderId="0" xfId="0" applyFont="1" applyAlignment="1">
      <alignment vertical="center"/>
    </xf>
    <xf numFmtId="0" fontId="32" fillId="0" borderId="0" xfId="0" applyFont="1" applyAlignment="1">
      <alignment horizontal="justify" vertical="center" wrapText="1"/>
    </xf>
    <xf numFmtId="0" fontId="1" fillId="6" borderId="17" xfId="0" applyFont="1" applyFill="1" applyBorder="1" applyAlignment="1">
      <alignment horizontal="justify" vertical="justify"/>
    </xf>
    <xf numFmtId="0" fontId="1" fillId="6" borderId="0" xfId="0" applyFont="1" applyFill="1" applyBorder="1" applyAlignment="1">
      <alignment horizontal="justify" vertical="justify"/>
    </xf>
    <xf numFmtId="0" fontId="0" fillId="0" borderId="35" xfId="0" applyBorder="1" applyAlignment="1">
      <alignment horizontal="center" vertical="top"/>
    </xf>
    <xf numFmtId="0" fontId="49" fillId="0" borderId="27" xfId="0" applyFont="1" applyBorder="1" applyAlignment="1">
      <alignment horizontal="left" vertical="top"/>
    </xf>
    <xf numFmtId="0" fontId="49" fillId="0" borderId="28" xfId="0" applyFont="1" applyBorder="1" applyAlignment="1">
      <alignment horizontal="left" vertical="top"/>
    </xf>
    <xf numFmtId="0" fontId="49" fillId="0" borderId="29" xfId="0" applyFont="1" applyBorder="1" applyAlignment="1">
      <alignment horizontal="left" vertical="top"/>
    </xf>
    <xf numFmtId="0" fontId="1" fillId="0" borderId="16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0" fontId="15" fillId="0" borderId="17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0" xfId="0" applyAlignment="1">
      <alignment horizontal="justify" vertical="top" wrapText="1"/>
    </xf>
    <xf numFmtId="164" fontId="43" fillId="4" borderId="7" xfId="1" applyNumberFormat="1" applyFont="1" applyFill="1" applyBorder="1" applyAlignment="1">
      <alignment horizontal="left" vertical="top" wrapText="1"/>
    </xf>
    <xf numFmtId="164" fontId="43" fillId="4" borderId="0" xfId="1" applyNumberFormat="1" applyFont="1" applyFill="1" applyBorder="1" applyAlignment="1">
      <alignment horizontal="left" vertical="top" wrapText="1"/>
    </xf>
    <xf numFmtId="164" fontId="43" fillId="4" borderId="0" xfId="1" applyNumberFormat="1" applyFont="1" applyFill="1" applyBorder="1" applyAlignment="1">
      <alignment horizontal="justify" vertical="top" wrapText="1"/>
    </xf>
    <xf numFmtId="164" fontId="43" fillId="4" borderId="0" xfId="1" applyNumberFormat="1" applyFont="1" applyFill="1" applyBorder="1" applyAlignment="1">
      <alignment horizontal="justify" vertical="top"/>
    </xf>
    <xf numFmtId="164" fontId="11" fillId="4" borderId="0" xfId="1" applyNumberFormat="1" applyFont="1" applyFill="1" applyBorder="1" applyAlignment="1">
      <alignment horizontal="justify" vertical="top" wrapText="1"/>
    </xf>
    <xf numFmtId="164" fontId="11" fillId="4" borderId="0" xfId="1" applyNumberFormat="1" applyFont="1" applyFill="1" applyBorder="1" applyAlignment="1">
      <alignment horizontal="justify" vertical="top"/>
    </xf>
    <xf numFmtId="164" fontId="11" fillId="0" borderId="0" xfId="1" applyNumberFormat="1" applyFont="1" applyFill="1" applyBorder="1" applyAlignment="1">
      <alignment horizontal="justify" vertical="top"/>
    </xf>
    <xf numFmtId="164" fontId="11" fillId="0" borderId="0" xfId="1" applyNumberFormat="1" applyFont="1" applyFill="1" applyBorder="1" applyAlignment="1">
      <alignment horizontal="justify" vertical="top" wrapText="1"/>
    </xf>
    <xf numFmtId="164" fontId="11" fillId="4" borderId="7" xfId="1" applyNumberFormat="1" applyFont="1" applyFill="1" applyBorder="1" applyAlignment="1">
      <alignment horizontal="justify" vertical="top" wrapText="1"/>
    </xf>
    <xf numFmtId="164" fontId="11" fillId="4" borderId="19" xfId="1" applyNumberFormat="1" applyFont="1" applyFill="1" applyBorder="1" applyAlignment="1">
      <alignment horizontal="justify" vertical="top" wrapText="1"/>
    </xf>
    <xf numFmtId="164" fontId="43" fillId="0" borderId="0" xfId="1" applyNumberFormat="1" applyFont="1" applyFill="1" applyBorder="1" applyAlignment="1">
      <alignment horizontal="justify" vertical="top" wrapText="1"/>
    </xf>
    <xf numFmtId="164" fontId="43" fillId="0" borderId="0" xfId="1" applyNumberFormat="1" applyFont="1" applyFill="1" applyBorder="1" applyAlignment="1">
      <alignment horizontal="justify" vertical="top"/>
    </xf>
    <xf numFmtId="164" fontId="11" fillId="3" borderId="0" xfId="1" applyNumberFormat="1" applyFont="1" applyFill="1" applyBorder="1" applyAlignment="1">
      <alignment horizontal="justify" vertical="top" wrapText="1"/>
    </xf>
    <xf numFmtId="164" fontId="11" fillId="3" borderId="0" xfId="1" applyNumberFormat="1" applyFont="1" applyFill="1" applyBorder="1" applyAlignment="1">
      <alignment horizontal="justify" vertical="top"/>
    </xf>
    <xf numFmtId="0" fontId="15" fillId="2" borderId="1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9" fillId="0" borderId="0" xfId="0" applyFont="1" applyBorder="1" applyAlignment="1">
      <alignment horizontal="justify" vertical="justify"/>
    </xf>
    <xf numFmtId="0" fontId="9" fillId="0" borderId="19" xfId="0" applyFont="1" applyBorder="1" applyAlignment="1">
      <alignment horizontal="justify" vertical="justify"/>
    </xf>
    <xf numFmtId="0" fontId="15" fillId="2" borderId="22" xfId="0" applyFont="1" applyFill="1" applyBorder="1" applyAlignment="1">
      <alignment horizontal="center"/>
    </xf>
    <xf numFmtId="0" fontId="15" fillId="2" borderId="23" xfId="0" applyFont="1" applyFill="1" applyBorder="1" applyAlignment="1">
      <alignment horizontal="center"/>
    </xf>
    <xf numFmtId="0" fontId="15" fillId="2" borderId="24" xfId="0" applyFont="1" applyFill="1" applyBorder="1" applyAlignment="1">
      <alignment horizontal="center"/>
    </xf>
    <xf numFmtId="0" fontId="4" fillId="0" borderId="19" xfId="0" applyFont="1" applyBorder="1" applyAlignment="1">
      <alignment horizontal="left"/>
    </xf>
    <xf numFmtId="0" fontId="10" fillId="0" borderId="0" xfId="0" applyFont="1" applyBorder="1" applyAlignment="1">
      <alignment horizontal="justify" vertical="justify"/>
    </xf>
    <xf numFmtId="0" fontId="10" fillId="0" borderId="19" xfId="0" applyFont="1" applyBorder="1" applyAlignment="1">
      <alignment horizontal="justify" vertical="justify"/>
    </xf>
    <xf numFmtId="14" fontId="1" fillId="0" borderId="16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0" borderId="32" xfId="0" applyNumberFormat="1" applyFont="1" applyBorder="1" applyAlignment="1">
      <alignment horizontal="center"/>
    </xf>
    <xf numFmtId="0" fontId="42" fillId="0" borderId="16" xfId="4" applyBorder="1" applyAlignment="1">
      <alignment horizontal="center"/>
    </xf>
  </cellXfs>
  <cellStyles count="5">
    <cellStyle name="Hipervínculo" xfId="4" builtinId="8"/>
    <cellStyle name="Normal" xfId="0" builtinId="0"/>
    <cellStyle name="Normal 2" xfId="3" xr:uid="{00000000-0005-0000-0000-000002000000}"/>
    <cellStyle name="Normal 3" xfId="1" xr:uid="{00000000-0005-0000-0000-0000030000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0</xdr:row>
      <xdr:rowOff>57149</xdr:rowOff>
    </xdr:from>
    <xdr:to>
      <xdr:col>6</xdr:col>
      <xdr:colOff>1600201</xdr:colOff>
      <xdr:row>4</xdr:row>
      <xdr:rowOff>47624</xdr:rowOff>
    </xdr:to>
    <xdr:pic>
      <xdr:nvPicPr>
        <xdr:cNvPr id="4" name="Imagen 3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D0DDD189-7BEE-44CA-AF66-77994491DC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1" y="57149"/>
          <a:ext cx="1562100" cy="942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542925</xdr:colOff>
      <xdr:row>1</xdr:row>
      <xdr:rowOff>47625</xdr:rowOff>
    </xdr:from>
    <xdr:to>
      <xdr:col>11</xdr:col>
      <xdr:colOff>2057400</xdr:colOff>
      <xdr:row>4</xdr:row>
      <xdr:rowOff>114300</xdr:rowOff>
    </xdr:to>
    <xdr:pic>
      <xdr:nvPicPr>
        <xdr:cNvPr id="4" name="Imagen 3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D8C0F22D-CC47-4B73-8F7C-8F98B01E53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314325"/>
          <a:ext cx="1514475" cy="7715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1</xdr:row>
      <xdr:rowOff>57150</xdr:rowOff>
    </xdr:from>
    <xdr:to>
      <xdr:col>10</xdr:col>
      <xdr:colOff>733426</xdr:colOff>
      <xdr:row>4</xdr:row>
      <xdr:rowOff>133350</xdr:rowOff>
    </xdr:to>
    <xdr:pic>
      <xdr:nvPicPr>
        <xdr:cNvPr id="3" name="Imagen 2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7C3C829B-8EFC-447B-BF27-B2409480C4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323850"/>
          <a:ext cx="1571626" cy="781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36</xdr:row>
      <xdr:rowOff>104775</xdr:rowOff>
    </xdr:to>
    <xdr:sp macro="" textlink="">
      <xdr:nvSpPr>
        <xdr:cNvPr id="3073" name="AutoShape 1" descr="Libro de actas EJEMPLO">
          <a:extLst>
            <a:ext uri="{FF2B5EF4-FFF2-40B4-BE49-F238E27FC236}">
              <a16:creationId xmlns:a16="http://schemas.microsoft.com/office/drawing/2014/main" id="{CE7A8DB5-4065-49CF-A1D3-59114DE5DD17}"/>
            </a:ext>
          </a:extLst>
        </xdr:cNvPr>
        <xdr:cNvSpPr>
          <a:spLocks noChangeAspect="1" noChangeArrowheads="1"/>
        </xdr:cNvSpPr>
      </xdr:nvSpPr>
      <xdr:spPr bwMode="auto">
        <a:xfrm>
          <a:off x="10820400" y="68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73479</xdr:colOff>
      <xdr:row>91</xdr:row>
      <xdr:rowOff>61232</xdr:rowOff>
    </xdr:from>
    <xdr:to>
      <xdr:col>7</xdr:col>
      <xdr:colOff>250371</xdr:colOff>
      <xdr:row>102</xdr:row>
      <xdr:rowOff>132193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2F7A048-9C2D-4B56-983C-3DF0D7880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9879" y="22044932"/>
          <a:ext cx="4748892" cy="3271361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138545</xdr:colOff>
      <xdr:row>108</xdr:row>
      <xdr:rowOff>1</xdr:rowOff>
    </xdr:from>
    <xdr:to>
      <xdr:col>11</xdr:col>
      <xdr:colOff>185084</xdr:colOff>
      <xdr:row>125</xdr:row>
      <xdr:rowOff>155864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F62245-7BE0-497E-9326-145AC548D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38409" y="26618046"/>
          <a:ext cx="7666539" cy="3827318"/>
        </a:xfrm>
        <a:prstGeom prst="rect">
          <a:avLst/>
        </a:prstGeom>
      </xdr:spPr>
    </xdr:pic>
    <xdr:clientData/>
  </xdr:twoCellAnchor>
  <xdr:twoCellAnchor editAs="oneCell">
    <xdr:from>
      <xdr:col>0</xdr:col>
      <xdr:colOff>7115175</xdr:colOff>
      <xdr:row>0</xdr:row>
      <xdr:rowOff>76200</xdr:rowOff>
    </xdr:from>
    <xdr:to>
      <xdr:col>0</xdr:col>
      <xdr:colOff>9132234</xdr:colOff>
      <xdr:row>6</xdr:row>
      <xdr:rowOff>57150</xdr:rowOff>
    </xdr:to>
    <xdr:pic>
      <xdr:nvPicPr>
        <xdr:cNvPr id="7" name="Imagen 6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4A927B6A-6B23-4DD6-8026-245F2C4748DE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200"/>
          <a:ext cx="2017059" cy="1123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umendoza3095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4537-B77B-4DF3-8A5B-EE500469DEDA}">
  <sheetPr>
    <pageSetUpPr fitToPage="1"/>
  </sheetPr>
  <dimension ref="B1:S46"/>
  <sheetViews>
    <sheetView view="pageBreakPreview" zoomScaleNormal="100" zoomScaleSheetLayoutView="100" workbookViewId="0">
      <selection activeCell="C2" sqref="C2:F2"/>
    </sheetView>
  </sheetViews>
  <sheetFormatPr baseColWidth="10" defaultRowHeight="15"/>
  <cols>
    <col min="2" max="2" width="3.140625" customWidth="1"/>
    <col min="3" max="3" width="46.28515625" customWidth="1"/>
    <col min="6" max="6" width="14" customWidth="1"/>
    <col min="7" max="7" width="24.7109375" customWidth="1"/>
    <col min="14" max="15" width="11.42578125" style="9"/>
  </cols>
  <sheetData>
    <row r="1" spans="2:19" s="13" customFormat="1" ht="21">
      <c r="C1" s="242" t="s">
        <v>329</v>
      </c>
      <c r="D1" s="243"/>
      <c r="E1" s="243"/>
      <c r="F1" s="243"/>
      <c r="G1" s="202"/>
      <c r="H1" s="201"/>
      <c r="I1" s="201"/>
      <c r="J1" s="201"/>
      <c r="K1" s="201"/>
      <c r="L1" s="201"/>
      <c r="M1" s="201"/>
      <c r="N1" s="199"/>
      <c r="O1" s="190"/>
      <c r="P1" s="190"/>
      <c r="Q1" s="190"/>
      <c r="R1" s="190"/>
      <c r="S1" s="190"/>
    </row>
    <row r="2" spans="2:19" s="17" customFormat="1" ht="17.25">
      <c r="C2" s="244" t="s">
        <v>370</v>
      </c>
      <c r="D2" s="245"/>
      <c r="E2" s="245"/>
      <c r="F2" s="245"/>
      <c r="G2" s="203"/>
      <c r="H2" s="198"/>
      <c r="I2" s="198"/>
      <c r="J2" s="198"/>
      <c r="K2" s="198"/>
      <c r="L2" s="198"/>
      <c r="M2" s="198"/>
      <c r="N2" s="198"/>
      <c r="O2" s="197"/>
      <c r="P2" s="197"/>
      <c r="Q2" s="197"/>
      <c r="R2" s="197"/>
      <c r="S2" s="197"/>
    </row>
    <row r="3" spans="2:19" s="15" customFormat="1" ht="21">
      <c r="C3" s="115" t="s">
        <v>32</v>
      </c>
      <c r="D3" s="198" t="s">
        <v>46</v>
      </c>
      <c r="E3" s="35"/>
      <c r="F3" s="13" t="s">
        <v>310</v>
      </c>
      <c r="G3" s="204"/>
      <c r="H3" s="198"/>
      <c r="I3" s="198"/>
      <c r="J3" s="198"/>
      <c r="K3" s="198"/>
      <c r="L3" s="198"/>
      <c r="M3" s="198"/>
      <c r="N3" s="198"/>
      <c r="O3" s="197"/>
      <c r="P3" s="197"/>
      <c r="Q3" s="197"/>
      <c r="R3" s="197"/>
      <c r="S3" s="197"/>
    </row>
    <row r="4" spans="2:19" s="2" customFormat="1" ht="15.75">
      <c r="C4" s="116" t="s">
        <v>1</v>
      </c>
      <c r="D4" s="101" t="s">
        <v>335</v>
      </c>
      <c r="E4" s="109"/>
      <c r="F4" s="200">
        <v>45198</v>
      </c>
      <c r="G4" s="105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</row>
    <row r="5" spans="2:19" s="2" customFormat="1" ht="15.75">
      <c r="C5" s="116" t="s">
        <v>232</v>
      </c>
      <c r="D5" s="101" t="s">
        <v>367</v>
      </c>
      <c r="E5" s="109"/>
      <c r="F5" s="200">
        <v>0</v>
      </c>
      <c r="G5" s="105"/>
      <c r="H5" s="111"/>
      <c r="I5" s="111"/>
      <c r="J5" s="111"/>
      <c r="K5" s="111"/>
      <c r="L5" s="111"/>
      <c r="M5" s="111"/>
      <c r="N5" s="101"/>
      <c r="O5" s="101"/>
      <c r="P5" s="101"/>
      <c r="Q5" s="101"/>
      <c r="R5" s="101"/>
      <c r="S5" s="101"/>
    </row>
    <row r="6" spans="2:19" s="2" customFormat="1" ht="16.5" customHeight="1" thickBot="1">
      <c r="C6" s="205" t="s">
        <v>309</v>
      </c>
      <c r="D6" s="206" t="s">
        <v>367</v>
      </c>
      <c r="E6" s="207"/>
      <c r="F6" s="208">
        <v>0</v>
      </c>
      <c r="G6" s="108"/>
      <c r="I6" s="23"/>
      <c r="J6" s="1"/>
      <c r="K6" s="1"/>
      <c r="L6" s="1"/>
      <c r="M6" s="1"/>
      <c r="N6" s="191"/>
      <c r="O6" s="191"/>
      <c r="P6" s="191"/>
      <c r="Q6" s="191"/>
      <c r="R6" s="191"/>
      <c r="S6" s="191"/>
    </row>
    <row r="7" spans="2:19" s="2" customFormat="1" ht="15.75">
      <c r="C7" s="10"/>
      <c r="D7" s="22"/>
      <c r="E7" s="36"/>
      <c r="F7" s="220" t="s">
        <v>336</v>
      </c>
      <c r="G7" s="26"/>
      <c r="I7" s="25"/>
      <c r="J7" s="27"/>
      <c r="K7" s="27"/>
    </row>
    <row r="8" spans="2:19" s="2" customFormat="1" ht="16.5" thickBot="1">
      <c r="C8" s="10"/>
      <c r="D8" s="22"/>
      <c r="E8" s="36"/>
      <c r="F8" s="25"/>
      <c r="G8" s="26"/>
      <c r="I8" s="25"/>
      <c r="J8" s="27"/>
      <c r="K8" s="27"/>
    </row>
    <row r="9" spans="2:19">
      <c r="B9" s="213">
        <v>1</v>
      </c>
      <c r="C9" s="214" t="s">
        <v>316</v>
      </c>
      <c r="D9" s="246" t="s">
        <v>371</v>
      </c>
      <c r="E9" s="246"/>
      <c r="F9" s="246"/>
      <c r="G9" s="247"/>
    </row>
    <row r="10" spans="2:19">
      <c r="B10" s="66">
        <v>2</v>
      </c>
      <c r="C10" s="209" t="s">
        <v>317</v>
      </c>
      <c r="D10" s="278">
        <v>44095</v>
      </c>
      <c r="E10" s="238"/>
      <c r="F10" s="238"/>
      <c r="G10" s="239"/>
    </row>
    <row r="11" spans="2:19">
      <c r="B11" s="66">
        <v>3</v>
      </c>
      <c r="C11" s="209" t="s">
        <v>318</v>
      </c>
      <c r="D11" s="238" t="s">
        <v>372</v>
      </c>
      <c r="E11" s="238"/>
      <c r="F11" s="238"/>
      <c r="G11" s="239"/>
    </row>
    <row r="12" spans="2:19">
      <c r="B12" s="66">
        <v>4</v>
      </c>
      <c r="C12" s="209" t="s">
        <v>311</v>
      </c>
      <c r="D12" s="279">
        <v>1291784468001</v>
      </c>
      <c r="E12" s="279"/>
      <c r="F12" s="279"/>
      <c r="G12" s="280"/>
    </row>
    <row r="13" spans="2:19">
      <c r="B13" s="66">
        <v>5</v>
      </c>
      <c r="C13" s="209" t="s">
        <v>319</v>
      </c>
      <c r="D13" s="238">
        <v>3</v>
      </c>
      <c r="E13" s="238"/>
      <c r="F13" s="238"/>
      <c r="G13" s="239"/>
    </row>
    <row r="14" spans="2:19">
      <c r="B14" s="66">
        <v>6</v>
      </c>
      <c r="C14" s="209" t="s">
        <v>320</v>
      </c>
      <c r="D14" s="238">
        <v>800</v>
      </c>
      <c r="E14" s="238"/>
      <c r="F14" s="238"/>
      <c r="G14" s="239"/>
    </row>
    <row r="15" spans="2:19">
      <c r="B15" s="66">
        <v>7</v>
      </c>
      <c r="C15" s="209" t="s">
        <v>321</v>
      </c>
      <c r="D15" s="238" t="s">
        <v>373</v>
      </c>
      <c r="E15" s="238"/>
      <c r="F15" s="238"/>
      <c r="G15" s="239"/>
    </row>
    <row r="16" spans="2:19">
      <c r="B16" s="66">
        <v>8</v>
      </c>
      <c r="C16" s="209" t="s">
        <v>322</v>
      </c>
      <c r="D16" s="238" t="s">
        <v>34</v>
      </c>
      <c r="E16" s="238"/>
      <c r="F16" s="238"/>
      <c r="G16" s="239"/>
    </row>
    <row r="17" spans="2:7">
      <c r="B17" s="66">
        <v>9</v>
      </c>
      <c r="C17" s="209" t="s">
        <v>323</v>
      </c>
      <c r="D17" s="238" t="s">
        <v>374</v>
      </c>
      <c r="E17" s="238"/>
      <c r="F17" s="238"/>
      <c r="G17" s="239"/>
    </row>
    <row r="18" spans="2:7">
      <c r="B18" s="66">
        <v>10</v>
      </c>
      <c r="C18" s="209" t="s">
        <v>324</v>
      </c>
      <c r="D18" s="281" t="s">
        <v>375</v>
      </c>
      <c r="E18" s="238"/>
      <c r="F18" s="238"/>
      <c r="G18" s="239"/>
    </row>
    <row r="19" spans="2:7">
      <c r="B19" s="66">
        <v>11</v>
      </c>
      <c r="C19" s="209" t="s">
        <v>325</v>
      </c>
      <c r="D19" s="238" t="s">
        <v>34</v>
      </c>
      <c r="E19" s="238"/>
      <c r="F19" s="238"/>
      <c r="G19" s="239"/>
    </row>
    <row r="20" spans="2:7">
      <c r="B20" s="66">
        <v>12</v>
      </c>
      <c r="C20" s="209" t="s">
        <v>326</v>
      </c>
      <c r="D20" s="238" t="s">
        <v>377</v>
      </c>
      <c r="E20" s="238"/>
      <c r="F20" s="238"/>
      <c r="G20" s="239"/>
    </row>
    <row r="21" spans="2:7">
      <c r="B21" s="66">
        <v>13</v>
      </c>
      <c r="C21" s="209" t="s">
        <v>327</v>
      </c>
      <c r="D21" s="238" t="s">
        <v>376</v>
      </c>
      <c r="E21" s="238"/>
      <c r="F21" s="238"/>
      <c r="G21" s="239"/>
    </row>
    <row r="22" spans="2:7">
      <c r="B22" s="66">
        <v>14</v>
      </c>
      <c r="C22" s="209" t="s">
        <v>328</v>
      </c>
      <c r="D22" s="238" t="s">
        <v>34</v>
      </c>
      <c r="E22" s="238"/>
      <c r="F22" s="238"/>
      <c r="G22" s="239"/>
    </row>
    <row r="23" spans="2:7">
      <c r="B23" s="66">
        <v>15</v>
      </c>
      <c r="C23" s="209" t="s">
        <v>293</v>
      </c>
      <c r="D23" s="238" t="s">
        <v>378</v>
      </c>
      <c r="E23" s="238"/>
      <c r="F23" s="238"/>
      <c r="G23" s="239"/>
    </row>
    <row r="24" spans="2:7">
      <c r="B24" s="66">
        <v>16</v>
      </c>
      <c r="C24" s="209" t="s">
        <v>294</v>
      </c>
      <c r="D24" s="238"/>
      <c r="E24" s="238"/>
      <c r="F24" s="238"/>
      <c r="G24" s="239"/>
    </row>
    <row r="25" spans="2:7">
      <c r="B25" s="66">
        <v>17</v>
      </c>
      <c r="C25" s="209" t="s">
        <v>295</v>
      </c>
      <c r="D25" s="238"/>
      <c r="E25" s="238"/>
      <c r="F25" s="238"/>
      <c r="G25" s="239"/>
    </row>
    <row r="26" spans="2:7">
      <c r="B26" s="66">
        <v>18</v>
      </c>
      <c r="C26" s="209" t="s">
        <v>296</v>
      </c>
      <c r="D26" s="238"/>
      <c r="E26" s="238"/>
      <c r="F26" s="238"/>
      <c r="G26" s="239"/>
    </row>
    <row r="27" spans="2:7">
      <c r="B27" s="234">
        <v>19</v>
      </c>
      <c r="C27" s="235" t="s">
        <v>297</v>
      </c>
      <c r="D27" s="238"/>
      <c r="E27" s="238"/>
      <c r="F27" s="238"/>
      <c r="G27" s="239"/>
    </row>
    <row r="28" spans="2:7">
      <c r="B28" s="234"/>
      <c r="C28" s="236"/>
      <c r="D28" s="238"/>
      <c r="E28" s="238"/>
      <c r="F28" s="238"/>
      <c r="G28" s="239"/>
    </row>
    <row r="29" spans="2:7">
      <c r="B29" s="234"/>
      <c r="C29" s="237"/>
      <c r="D29" s="238"/>
      <c r="E29" s="238"/>
      <c r="F29" s="238"/>
      <c r="G29" s="239"/>
    </row>
    <row r="30" spans="2:7">
      <c r="B30" s="66">
        <v>20</v>
      </c>
      <c r="C30" s="217" t="s">
        <v>315</v>
      </c>
      <c r="D30" s="238"/>
      <c r="E30" s="238"/>
      <c r="F30" s="238"/>
      <c r="G30" s="239"/>
    </row>
    <row r="31" spans="2:7">
      <c r="B31" s="66">
        <v>21</v>
      </c>
      <c r="C31" s="209" t="s">
        <v>298</v>
      </c>
      <c r="D31" s="238"/>
      <c r="E31" s="238"/>
      <c r="F31" s="238"/>
      <c r="G31" s="239"/>
    </row>
    <row r="32" spans="2:7">
      <c r="B32" s="66">
        <v>22</v>
      </c>
      <c r="C32" s="209" t="s">
        <v>299</v>
      </c>
      <c r="D32" s="238"/>
      <c r="E32" s="238"/>
      <c r="F32" s="238"/>
      <c r="G32" s="239"/>
    </row>
    <row r="33" spans="2:7">
      <c r="B33" s="66">
        <v>23</v>
      </c>
      <c r="C33" s="209" t="s">
        <v>300</v>
      </c>
      <c r="D33" s="238"/>
      <c r="E33" s="238"/>
      <c r="F33" s="238"/>
      <c r="G33" s="239"/>
    </row>
    <row r="34" spans="2:7">
      <c r="B34" s="66">
        <v>24</v>
      </c>
      <c r="C34" s="209" t="s">
        <v>301</v>
      </c>
      <c r="D34" s="238"/>
      <c r="E34" s="238"/>
      <c r="F34" s="238"/>
      <c r="G34" s="239"/>
    </row>
    <row r="35" spans="2:7">
      <c r="B35" s="66">
        <v>25</v>
      </c>
      <c r="C35" s="209" t="s">
        <v>302</v>
      </c>
      <c r="D35" s="238"/>
      <c r="E35" s="238"/>
      <c r="F35" s="238"/>
      <c r="G35" s="239"/>
    </row>
    <row r="36" spans="2:7">
      <c r="B36" s="66">
        <v>26</v>
      </c>
      <c r="C36" s="209" t="s">
        <v>303</v>
      </c>
      <c r="D36" s="238"/>
      <c r="E36" s="238"/>
      <c r="F36" s="238"/>
      <c r="G36" s="239"/>
    </row>
    <row r="37" spans="2:7">
      <c r="B37" s="66">
        <v>27</v>
      </c>
      <c r="C37" s="209" t="s">
        <v>304</v>
      </c>
      <c r="D37" s="238"/>
      <c r="E37" s="238"/>
      <c r="F37" s="238"/>
      <c r="G37" s="239"/>
    </row>
    <row r="38" spans="2:7">
      <c r="B38" s="66">
        <v>28</v>
      </c>
      <c r="C38" s="209" t="s">
        <v>305</v>
      </c>
      <c r="D38" s="238"/>
      <c r="E38" s="238"/>
      <c r="F38" s="238"/>
      <c r="G38" s="239"/>
    </row>
    <row r="39" spans="2:7">
      <c r="B39" s="66">
        <v>29</v>
      </c>
      <c r="C39" s="209" t="s">
        <v>306</v>
      </c>
      <c r="D39" s="238"/>
      <c r="E39" s="238"/>
      <c r="F39" s="238"/>
      <c r="G39" s="239"/>
    </row>
    <row r="40" spans="2:7">
      <c r="B40" s="66">
        <v>30</v>
      </c>
      <c r="C40" s="209" t="s">
        <v>307</v>
      </c>
      <c r="D40" s="238"/>
      <c r="E40" s="238"/>
      <c r="F40" s="238"/>
      <c r="G40" s="239"/>
    </row>
    <row r="41" spans="2:7" ht="15.75" thickBot="1">
      <c r="B41" s="69">
        <v>31</v>
      </c>
      <c r="C41" s="215" t="s">
        <v>308</v>
      </c>
      <c r="D41" s="240"/>
      <c r="E41" s="240"/>
      <c r="F41" s="240"/>
      <c r="G41" s="241"/>
    </row>
    <row r="42" spans="2:7">
      <c r="B42" s="9"/>
      <c r="C42" s="216" t="s">
        <v>314</v>
      </c>
      <c r="D42" s="232"/>
      <c r="E42" s="232"/>
      <c r="F42" s="232"/>
      <c r="G42" s="232"/>
    </row>
    <row r="43" spans="2:7">
      <c r="B43" s="9"/>
      <c r="C43" s="216"/>
      <c r="D43" s="233"/>
      <c r="E43" s="233"/>
      <c r="F43" s="233"/>
      <c r="G43" s="233"/>
    </row>
    <row r="44" spans="2:7">
      <c r="C44" s="210"/>
      <c r="D44" s="233"/>
      <c r="E44" s="233"/>
      <c r="F44" s="233"/>
      <c r="G44" s="233"/>
    </row>
    <row r="45" spans="2:7">
      <c r="C45" s="211" t="s">
        <v>312</v>
      </c>
      <c r="D45" t="s">
        <v>313</v>
      </c>
    </row>
    <row r="46" spans="2:7">
      <c r="C46" s="212"/>
    </row>
  </sheetData>
  <mergeCells count="38">
    <mergeCell ref="D15:G15"/>
    <mergeCell ref="D9:G9"/>
    <mergeCell ref="D10:G10"/>
    <mergeCell ref="D11:G11"/>
    <mergeCell ref="D12:G12"/>
    <mergeCell ref="D13:G13"/>
    <mergeCell ref="D14:G14"/>
    <mergeCell ref="D17:G17"/>
    <mergeCell ref="D18:G18"/>
    <mergeCell ref="D19:G19"/>
    <mergeCell ref="D20:G20"/>
    <mergeCell ref="D21:G21"/>
    <mergeCell ref="C1:F1"/>
    <mergeCell ref="C2:F2"/>
    <mergeCell ref="D32:G32"/>
    <mergeCell ref="D33:G33"/>
    <mergeCell ref="D34:G34"/>
    <mergeCell ref="D28:G28"/>
    <mergeCell ref="D29:G29"/>
    <mergeCell ref="D30:G30"/>
    <mergeCell ref="D31:G31"/>
    <mergeCell ref="D22:G22"/>
    <mergeCell ref="D23:G23"/>
    <mergeCell ref="D24:G24"/>
    <mergeCell ref="D25:G25"/>
    <mergeCell ref="D26:G26"/>
    <mergeCell ref="D27:G27"/>
    <mergeCell ref="D16:G16"/>
    <mergeCell ref="D42:G44"/>
    <mergeCell ref="B27:B29"/>
    <mergeCell ref="C27:C29"/>
    <mergeCell ref="D38:G38"/>
    <mergeCell ref="D39:G39"/>
    <mergeCell ref="D40:G40"/>
    <mergeCell ref="D41:G41"/>
    <mergeCell ref="D35:G35"/>
    <mergeCell ref="D36:G36"/>
    <mergeCell ref="D37:G37"/>
  </mergeCells>
  <hyperlinks>
    <hyperlink ref="D18" r:id="rId1" xr:uid="{03F2020D-6A5D-473F-B0DF-EB9F528150F0}"/>
  </hyperlinks>
  <pageMargins left="0.41" right="0.52" top="0.45" bottom="0.74803149606299213" header="0.31496062992125984" footer="0.31496062992125984"/>
  <pageSetup paperSize="9" scale="8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8"/>
  <sheetViews>
    <sheetView view="pageBreakPreview" zoomScaleNormal="100" zoomScaleSheetLayoutView="100" workbookViewId="0">
      <selection activeCell="D3" sqref="D3"/>
    </sheetView>
  </sheetViews>
  <sheetFormatPr baseColWidth="10" defaultRowHeight="15"/>
  <cols>
    <col min="1" max="1" width="2" style="167" customWidth="1"/>
    <col min="2" max="2" width="4.140625" style="169" customWidth="1"/>
    <col min="3" max="3" width="15.140625" customWidth="1"/>
    <col min="4" max="4" width="14.28515625" customWidth="1"/>
    <col min="5" max="5" width="10.85546875" customWidth="1"/>
    <col min="7" max="7" width="14" customWidth="1"/>
    <col min="8" max="8" width="15.7109375" customWidth="1"/>
  </cols>
  <sheetData>
    <row r="1" spans="1:8" ht="2.25" customHeight="1" thickBot="1">
      <c r="B1" s="168"/>
      <c r="C1" s="165"/>
      <c r="D1" s="165"/>
      <c r="E1" s="165"/>
      <c r="F1" s="165"/>
      <c r="G1" s="165"/>
      <c r="H1" s="166"/>
    </row>
    <row r="2" spans="1:8" s="177" customFormat="1" ht="15.75">
      <c r="A2" s="175"/>
      <c r="B2" s="179"/>
      <c r="C2" s="180" t="s">
        <v>267</v>
      </c>
      <c r="D2" s="180" t="str">
        <f>+RECOPILACIÓN!D9</f>
        <v>TABACALERA MENHURSA S.A.</v>
      </c>
      <c r="E2" s="180"/>
      <c r="F2" s="180"/>
      <c r="G2" s="180"/>
      <c r="H2" s="181"/>
    </row>
    <row r="3" spans="1:8" s="177" customFormat="1" ht="15.75">
      <c r="A3" s="175"/>
      <c r="B3" s="182"/>
      <c r="C3" s="178" t="s">
        <v>31</v>
      </c>
      <c r="D3" s="178" t="str">
        <f>+CUESTIONARIO!E3</f>
        <v>Del 01 de enero al 31 de diciembre del 2023</v>
      </c>
      <c r="E3" s="178"/>
      <c r="F3" s="178"/>
      <c r="G3" s="178"/>
      <c r="H3" s="183"/>
    </row>
    <row r="4" spans="1:8" s="177" customFormat="1" ht="15.75">
      <c r="A4" s="175"/>
      <c r="B4" s="182"/>
      <c r="C4" s="178" t="s">
        <v>268</v>
      </c>
      <c r="D4" s="178"/>
      <c r="E4" s="178"/>
      <c r="F4" s="178" t="s">
        <v>2</v>
      </c>
      <c r="G4" s="178"/>
      <c r="H4" s="183"/>
    </row>
    <row r="5" spans="1:8" s="177" customFormat="1" ht="15.75">
      <c r="A5" s="175"/>
      <c r="B5" s="182"/>
      <c r="C5" s="178" t="s">
        <v>269</v>
      </c>
      <c r="D5" s="178"/>
      <c r="E5" s="178"/>
      <c r="F5" s="178" t="s">
        <v>2</v>
      </c>
      <c r="G5" s="178"/>
      <c r="H5" s="183"/>
    </row>
    <row r="6" spans="1:8" s="177" customFormat="1" ht="16.5" thickBot="1">
      <c r="A6" s="175"/>
      <c r="B6" s="184"/>
      <c r="C6" s="185" t="s">
        <v>270</v>
      </c>
      <c r="D6" s="185"/>
      <c r="E6" s="185"/>
      <c r="F6" s="185" t="s">
        <v>2</v>
      </c>
      <c r="G6" s="185"/>
      <c r="H6" s="186"/>
    </row>
    <row r="7" spans="1:8" s="177" customFormat="1" ht="15.75">
      <c r="A7" s="175"/>
      <c r="B7" s="176"/>
      <c r="F7" s="221" t="str">
        <f>+RECOPILACIÓN!F7</f>
        <v>Papel de Trabajo actualizado septiembre-2022</v>
      </c>
      <c r="H7" s="178"/>
    </row>
    <row r="8" spans="1:8" ht="76.5">
      <c r="A8" s="167" t="s">
        <v>234</v>
      </c>
      <c r="B8" s="248" t="s">
        <v>233</v>
      </c>
      <c r="C8" s="248"/>
      <c r="D8" s="248"/>
      <c r="E8" s="248"/>
      <c r="F8" s="248"/>
      <c r="G8" s="248"/>
      <c r="H8" s="248"/>
    </row>
    <row r="9" spans="1:8">
      <c r="B9" s="188"/>
      <c r="C9" s="188"/>
      <c r="D9" s="188"/>
      <c r="E9" s="188"/>
      <c r="F9" s="188"/>
      <c r="G9" s="188"/>
      <c r="H9" s="188"/>
    </row>
    <row r="10" spans="1:8">
      <c r="B10" s="174" t="s">
        <v>235</v>
      </c>
    </row>
    <row r="11" spans="1:8" ht="15.75" thickBot="1">
      <c r="B11" s="169" t="s">
        <v>238</v>
      </c>
      <c r="C11" t="s">
        <v>236</v>
      </c>
    </row>
    <row r="12" spans="1:8">
      <c r="B12" s="170"/>
      <c r="C12" s="63"/>
      <c r="D12" s="63"/>
      <c r="E12" s="63"/>
      <c r="F12" s="63"/>
      <c r="G12" s="63"/>
      <c r="H12" s="65"/>
    </row>
    <row r="13" spans="1:8">
      <c r="B13" s="171"/>
      <c r="C13" s="9"/>
      <c r="D13" s="9"/>
      <c r="E13" s="9"/>
      <c r="F13" s="9"/>
      <c r="G13" s="9"/>
      <c r="H13" s="68"/>
    </row>
    <row r="14" spans="1:8">
      <c r="B14" s="171"/>
      <c r="C14" s="9"/>
      <c r="D14" s="9"/>
      <c r="E14" s="9"/>
      <c r="F14" s="9"/>
      <c r="G14" s="9"/>
      <c r="H14" s="68"/>
    </row>
    <row r="15" spans="1:8">
      <c r="B15" s="171"/>
      <c r="C15" s="9"/>
      <c r="D15" s="9"/>
      <c r="E15" s="9"/>
      <c r="F15" s="9"/>
      <c r="G15" s="9"/>
      <c r="H15" s="68"/>
    </row>
    <row r="16" spans="1:8" ht="15.75" thickBot="1">
      <c r="B16" s="172"/>
      <c r="C16" s="48"/>
      <c r="D16" s="48"/>
      <c r="E16" s="48"/>
      <c r="F16" s="48"/>
      <c r="G16" s="48"/>
      <c r="H16" s="71"/>
    </row>
    <row r="17" spans="2:8">
      <c r="B17" s="173"/>
      <c r="C17" s="9"/>
      <c r="D17" s="9"/>
      <c r="E17" s="9"/>
      <c r="F17" s="9"/>
      <c r="G17" s="9"/>
      <c r="H17" s="9"/>
    </row>
    <row r="18" spans="2:8" ht="15.75" thickBot="1">
      <c r="B18" s="169" t="s">
        <v>239</v>
      </c>
      <c r="C18" t="s">
        <v>237</v>
      </c>
    </row>
    <row r="19" spans="2:8">
      <c r="B19" s="170"/>
      <c r="C19" s="63"/>
      <c r="D19" s="63"/>
      <c r="E19" s="63"/>
      <c r="F19" s="63"/>
      <c r="G19" s="63"/>
      <c r="H19" s="65"/>
    </row>
    <row r="20" spans="2:8">
      <c r="B20" s="171"/>
      <c r="C20" s="9"/>
      <c r="D20" s="9"/>
      <c r="E20" s="9"/>
      <c r="F20" s="9"/>
      <c r="G20" s="9"/>
      <c r="H20" s="68"/>
    </row>
    <row r="21" spans="2:8">
      <c r="B21" s="171"/>
      <c r="C21" s="9"/>
      <c r="D21" s="9"/>
      <c r="E21" s="9"/>
      <c r="F21" s="9"/>
      <c r="G21" s="9"/>
      <c r="H21" s="68"/>
    </row>
    <row r="22" spans="2:8">
      <c r="B22" s="171"/>
      <c r="C22" s="9"/>
      <c r="D22" s="9"/>
      <c r="E22" s="9"/>
      <c r="F22" s="9"/>
      <c r="G22" s="9"/>
      <c r="H22" s="68"/>
    </row>
    <row r="23" spans="2:8" ht="15.75" thickBot="1">
      <c r="B23" s="172"/>
      <c r="C23" s="48"/>
      <c r="D23" s="48"/>
      <c r="E23" s="48"/>
      <c r="F23" s="48"/>
      <c r="G23" s="48"/>
      <c r="H23" s="71"/>
    </row>
    <row r="24" spans="2:8">
      <c r="B24" s="173"/>
      <c r="C24" s="9"/>
      <c r="D24" s="9"/>
      <c r="E24" s="9"/>
      <c r="F24" s="9"/>
      <c r="G24" s="9"/>
      <c r="H24" s="9"/>
    </row>
    <row r="25" spans="2:8" ht="15.75" thickBot="1">
      <c r="B25" s="169" t="s">
        <v>241</v>
      </c>
      <c r="C25" t="s">
        <v>240</v>
      </c>
    </row>
    <row r="26" spans="2:8">
      <c r="B26" s="170"/>
      <c r="C26" s="63"/>
      <c r="D26" s="63"/>
      <c r="E26" s="63"/>
      <c r="F26" s="63"/>
      <c r="G26" s="63"/>
      <c r="H26" s="65"/>
    </row>
    <row r="27" spans="2:8">
      <c r="B27" s="171"/>
      <c r="C27" s="9"/>
      <c r="D27" s="9"/>
      <c r="E27" s="9"/>
      <c r="F27" s="9"/>
      <c r="G27" s="9"/>
      <c r="H27" s="68"/>
    </row>
    <row r="28" spans="2:8">
      <c r="B28" s="171"/>
      <c r="C28" s="9"/>
      <c r="D28" s="9"/>
      <c r="E28" s="9"/>
      <c r="F28" s="9"/>
      <c r="G28" s="9"/>
      <c r="H28" s="68"/>
    </row>
    <row r="29" spans="2:8">
      <c r="B29" s="171"/>
      <c r="C29" s="9"/>
      <c r="D29" s="9"/>
      <c r="E29" s="9"/>
      <c r="F29" s="9"/>
      <c r="G29" s="9"/>
      <c r="H29" s="68"/>
    </row>
    <row r="30" spans="2:8" ht="15.75" thickBot="1">
      <c r="B30" s="172"/>
      <c r="C30" s="48"/>
      <c r="D30" s="48"/>
      <c r="E30" s="48"/>
      <c r="F30" s="48"/>
      <c r="G30" s="48"/>
      <c r="H30" s="71"/>
    </row>
    <row r="31" spans="2:8">
      <c r="B31" s="173"/>
      <c r="C31" s="9"/>
      <c r="D31" s="9"/>
      <c r="E31" s="9"/>
      <c r="F31" s="9"/>
      <c r="G31" s="9"/>
      <c r="H31" s="9"/>
    </row>
    <row r="32" spans="2:8" ht="15.75" thickBot="1">
      <c r="B32" s="169" t="s">
        <v>243</v>
      </c>
      <c r="C32" t="s">
        <v>242</v>
      </c>
    </row>
    <row r="33" spans="2:8">
      <c r="B33" s="170"/>
      <c r="C33" s="63"/>
      <c r="D33" s="63"/>
      <c r="E33" s="63"/>
      <c r="F33" s="63"/>
      <c r="G33" s="63"/>
      <c r="H33" s="65"/>
    </row>
    <row r="34" spans="2:8">
      <c r="B34" s="171"/>
      <c r="C34" s="9"/>
      <c r="D34" s="9"/>
      <c r="E34" s="9"/>
      <c r="F34" s="9"/>
      <c r="G34" s="9"/>
      <c r="H34" s="68"/>
    </row>
    <row r="35" spans="2:8">
      <c r="B35" s="171"/>
      <c r="C35" s="9"/>
      <c r="D35" s="9"/>
      <c r="E35" s="9"/>
      <c r="F35" s="9"/>
      <c r="G35" s="9"/>
      <c r="H35" s="68"/>
    </row>
    <row r="36" spans="2:8">
      <c r="B36" s="171"/>
      <c r="C36" s="9"/>
      <c r="D36" s="9"/>
      <c r="E36" s="9"/>
      <c r="F36" s="9"/>
      <c r="G36" s="9"/>
      <c r="H36" s="68"/>
    </row>
    <row r="37" spans="2:8" ht="15.75" thickBot="1">
      <c r="B37" s="172"/>
      <c r="C37" s="48"/>
      <c r="D37" s="48"/>
      <c r="E37" s="48"/>
      <c r="F37" s="48"/>
      <c r="G37" s="48"/>
      <c r="H37" s="71"/>
    </row>
    <row r="38" spans="2:8">
      <c r="B38" s="173"/>
      <c r="C38" s="9"/>
      <c r="D38" s="9"/>
      <c r="E38" s="9"/>
      <c r="F38" s="9"/>
      <c r="G38" s="9"/>
      <c r="H38" s="9"/>
    </row>
    <row r="39" spans="2:8" ht="15.75" thickBot="1">
      <c r="B39" s="169" t="s">
        <v>244</v>
      </c>
      <c r="C39" t="s">
        <v>274</v>
      </c>
    </row>
    <row r="40" spans="2:8">
      <c r="B40" s="170"/>
      <c r="C40" s="63"/>
      <c r="D40" s="63"/>
      <c r="E40" s="63"/>
      <c r="F40" s="63"/>
      <c r="G40" s="63"/>
      <c r="H40" s="65"/>
    </row>
    <row r="41" spans="2:8">
      <c r="B41" s="171"/>
      <c r="C41" s="9"/>
      <c r="D41" s="9"/>
      <c r="E41" s="9"/>
      <c r="F41" s="9"/>
      <c r="G41" s="9"/>
      <c r="H41" s="68"/>
    </row>
    <row r="42" spans="2:8">
      <c r="B42" s="171"/>
      <c r="C42" s="9"/>
      <c r="D42" s="9"/>
      <c r="E42" s="9"/>
      <c r="F42" s="9"/>
      <c r="G42" s="9"/>
      <c r="H42" s="68"/>
    </row>
    <row r="43" spans="2:8">
      <c r="B43" s="171"/>
      <c r="C43" s="9"/>
      <c r="D43" s="9"/>
      <c r="E43" s="9"/>
      <c r="F43" s="9"/>
      <c r="G43" s="9"/>
      <c r="H43" s="68"/>
    </row>
    <row r="44" spans="2:8" ht="15.75" thickBot="1">
      <c r="B44" s="172"/>
      <c r="C44" s="48"/>
      <c r="D44" s="48"/>
      <c r="E44" s="48"/>
      <c r="F44" s="48"/>
      <c r="G44" s="48"/>
      <c r="H44" s="71"/>
    </row>
    <row r="45" spans="2:8">
      <c r="B45" s="173"/>
      <c r="C45" s="9"/>
      <c r="D45" s="9"/>
      <c r="E45" s="9"/>
      <c r="F45" s="9"/>
      <c r="G45" s="9"/>
      <c r="H45" s="9"/>
    </row>
    <row r="46" spans="2:8" ht="15.75" thickBot="1">
      <c r="B46" s="169" t="s">
        <v>245</v>
      </c>
      <c r="C46" t="s">
        <v>246</v>
      </c>
    </row>
    <row r="47" spans="2:8">
      <c r="B47" s="170"/>
      <c r="C47" s="63"/>
      <c r="D47" s="63"/>
      <c r="E47" s="63"/>
      <c r="F47" s="63"/>
      <c r="G47" s="63"/>
      <c r="H47" s="65"/>
    </row>
    <row r="48" spans="2:8">
      <c r="B48" s="171"/>
      <c r="C48" s="9"/>
      <c r="D48" s="9"/>
      <c r="E48" s="9"/>
      <c r="F48" s="9"/>
      <c r="G48" s="9"/>
      <c r="H48" s="68"/>
    </row>
    <row r="49" spans="2:8">
      <c r="B49" s="171"/>
      <c r="C49" s="9"/>
      <c r="D49" s="9"/>
      <c r="E49" s="9"/>
      <c r="F49" s="9"/>
      <c r="G49" s="9"/>
      <c r="H49" s="68"/>
    </row>
    <row r="50" spans="2:8">
      <c r="B50" s="171"/>
      <c r="C50" s="9"/>
      <c r="D50" s="9"/>
      <c r="E50" s="9"/>
      <c r="F50" s="9"/>
      <c r="G50" s="9"/>
      <c r="H50" s="68"/>
    </row>
    <row r="51" spans="2:8" ht="15.75" thickBot="1">
      <c r="B51" s="172"/>
      <c r="C51" s="48"/>
      <c r="D51" s="48"/>
      <c r="E51" s="48"/>
      <c r="F51" s="48"/>
      <c r="G51" s="48"/>
      <c r="H51" s="71"/>
    </row>
    <row r="52" spans="2:8">
      <c r="B52" s="173"/>
      <c r="C52" s="9"/>
      <c r="D52" s="9"/>
      <c r="E52" s="9"/>
      <c r="F52" s="9"/>
      <c r="G52" s="9"/>
      <c r="H52" s="9"/>
    </row>
    <row r="53" spans="2:8" ht="15.75" thickBot="1">
      <c r="B53" s="169" t="s">
        <v>247</v>
      </c>
      <c r="C53" t="s">
        <v>248</v>
      </c>
    </row>
    <row r="54" spans="2:8">
      <c r="B54" s="170"/>
      <c r="C54" s="63"/>
      <c r="D54" s="63"/>
      <c r="E54" s="63"/>
      <c r="F54" s="63"/>
      <c r="G54" s="63"/>
      <c r="H54" s="65"/>
    </row>
    <row r="55" spans="2:8">
      <c r="B55" s="171"/>
      <c r="C55" s="9"/>
      <c r="D55" s="9"/>
      <c r="E55" s="9"/>
      <c r="F55" s="9"/>
      <c r="G55" s="9"/>
      <c r="H55" s="68"/>
    </row>
    <row r="56" spans="2:8">
      <c r="B56" s="171"/>
      <c r="C56" s="9"/>
      <c r="D56" s="9"/>
      <c r="E56" s="9"/>
      <c r="F56" s="9"/>
      <c r="G56" s="9"/>
      <c r="H56" s="68"/>
    </row>
    <row r="57" spans="2:8">
      <c r="B57" s="171"/>
      <c r="C57" s="9"/>
      <c r="D57" s="9"/>
      <c r="E57" s="9"/>
      <c r="F57" s="9"/>
      <c r="G57" s="9"/>
      <c r="H57" s="68"/>
    </row>
    <row r="58" spans="2:8" ht="15.75" thickBot="1">
      <c r="B58" s="172"/>
      <c r="C58" s="48"/>
      <c r="D58" s="48"/>
      <c r="E58" s="48"/>
      <c r="F58" s="48"/>
      <c r="G58" s="48"/>
      <c r="H58" s="71"/>
    </row>
    <row r="59" spans="2:8">
      <c r="B59" s="173"/>
      <c r="C59" s="9"/>
      <c r="D59" s="9"/>
      <c r="E59" s="9"/>
      <c r="F59" s="9"/>
      <c r="G59" s="9"/>
      <c r="H59" s="9"/>
    </row>
    <row r="60" spans="2:8" ht="15.75" thickBot="1">
      <c r="B60" s="169" t="s">
        <v>251</v>
      </c>
      <c r="C60" t="s">
        <v>250</v>
      </c>
    </row>
    <row r="61" spans="2:8">
      <c r="B61" s="170"/>
      <c r="C61" s="63"/>
      <c r="D61" s="63"/>
      <c r="E61" s="63"/>
      <c r="F61" s="63"/>
      <c r="G61" s="63"/>
      <c r="H61" s="65"/>
    </row>
    <row r="62" spans="2:8">
      <c r="B62" s="171"/>
      <c r="C62" s="9"/>
      <c r="D62" s="9"/>
      <c r="E62" s="9"/>
      <c r="F62" s="9"/>
      <c r="G62" s="9"/>
      <c r="H62" s="68"/>
    </row>
    <row r="63" spans="2:8">
      <c r="B63" s="171"/>
      <c r="C63" s="9"/>
      <c r="D63" s="9"/>
      <c r="E63" s="9"/>
      <c r="F63" s="9"/>
      <c r="G63" s="9"/>
      <c r="H63" s="68"/>
    </row>
    <row r="64" spans="2:8">
      <c r="B64" s="171"/>
      <c r="C64" s="9"/>
      <c r="D64" s="9"/>
      <c r="E64" s="9"/>
      <c r="F64" s="9"/>
      <c r="G64" s="9"/>
      <c r="H64" s="68"/>
    </row>
    <row r="65" spans="2:8" ht="15.75" thickBot="1">
      <c r="B65" s="172"/>
      <c r="C65" s="48"/>
      <c r="D65" s="48"/>
      <c r="E65" s="48"/>
      <c r="F65" s="48"/>
      <c r="G65" s="48"/>
      <c r="H65" s="71"/>
    </row>
    <row r="67" spans="2:8" ht="15.75" thickBot="1">
      <c r="B67" s="169" t="s">
        <v>252</v>
      </c>
      <c r="C67" t="s">
        <v>253</v>
      </c>
    </row>
    <row r="68" spans="2:8">
      <c r="B68" s="170"/>
      <c r="C68" s="63"/>
      <c r="D68" s="63"/>
      <c r="E68" s="63"/>
      <c r="F68" s="63"/>
      <c r="G68" s="63"/>
      <c r="H68" s="65"/>
    </row>
    <row r="69" spans="2:8">
      <c r="B69" s="171"/>
      <c r="C69" s="9"/>
      <c r="D69" s="9"/>
      <c r="E69" s="9"/>
      <c r="F69" s="9"/>
      <c r="G69" s="9"/>
      <c r="H69" s="68"/>
    </row>
    <row r="70" spans="2:8">
      <c r="B70" s="171"/>
      <c r="C70" s="9"/>
      <c r="D70" s="9"/>
      <c r="E70" s="9"/>
      <c r="F70" s="9"/>
      <c r="G70" s="9"/>
      <c r="H70" s="68"/>
    </row>
    <row r="71" spans="2:8">
      <c r="B71" s="171"/>
      <c r="C71" s="9"/>
      <c r="D71" s="9"/>
      <c r="E71" s="9"/>
      <c r="F71" s="9"/>
      <c r="G71" s="9"/>
      <c r="H71" s="68"/>
    </row>
    <row r="72" spans="2:8" ht="15.75" thickBot="1">
      <c r="B72" s="172"/>
      <c r="C72" s="48"/>
      <c r="D72" s="48"/>
      <c r="E72" s="48"/>
      <c r="F72" s="48"/>
      <c r="G72" s="48"/>
      <c r="H72" s="71"/>
    </row>
    <row r="73" spans="2:8">
      <c r="C73" s="3"/>
    </row>
    <row r="74" spans="2:8" ht="15.75" thickBot="1">
      <c r="B74" s="169" t="s">
        <v>254</v>
      </c>
      <c r="C74" t="s">
        <v>260</v>
      </c>
    </row>
    <row r="75" spans="2:8">
      <c r="B75" s="170"/>
      <c r="C75" s="63"/>
      <c r="D75" s="63"/>
      <c r="E75" s="63"/>
      <c r="F75" s="63"/>
      <c r="G75" s="63"/>
      <c r="H75" s="65"/>
    </row>
    <row r="76" spans="2:8">
      <c r="B76" s="171"/>
      <c r="C76" s="9"/>
      <c r="D76" s="9"/>
      <c r="E76" s="9"/>
      <c r="F76" s="9"/>
      <c r="G76" s="9"/>
      <c r="H76" s="68"/>
    </row>
    <row r="77" spans="2:8">
      <c r="B77" s="171"/>
      <c r="C77" s="9"/>
      <c r="D77" s="9"/>
      <c r="E77" s="9"/>
      <c r="F77" s="9"/>
      <c r="G77" s="9"/>
      <c r="H77" s="68"/>
    </row>
    <row r="78" spans="2:8">
      <c r="B78" s="171"/>
      <c r="C78" s="9"/>
      <c r="D78" s="9"/>
      <c r="E78" s="9"/>
      <c r="F78" s="9"/>
      <c r="G78" s="9"/>
      <c r="H78" s="68"/>
    </row>
    <row r="79" spans="2:8" ht="15.75" thickBot="1">
      <c r="B79" s="172"/>
      <c r="C79" s="48"/>
      <c r="D79" s="48"/>
      <c r="E79" s="48"/>
      <c r="F79" s="48"/>
      <c r="G79" s="48"/>
      <c r="H79" s="71"/>
    </row>
    <row r="80" spans="2:8">
      <c r="B80" s="173"/>
      <c r="C80" s="9"/>
      <c r="D80" s="9"/>
      <c r="E80" s="9"/>
      <c r="F80" s="9"/>
      <c r="G80" s="9"/>
      <c r="H80" s="9"/>
    </row>
    <row r="81" spans="2:8" ht="15.75" thickBot="1">
      <c r="B81" s="169" t="s">
        <v>255</v>
      </c>
      <c r="C81" t="s">
        <v>261</v>
      </c>
    </row>
    <row r="82" spans="2:8">
      <c r="B82" s="170"/>
      <c r="C82" s="63"/>
      <c r="D82" s="63"/>
      <c r="E82" s="63"/>
      <c r="F82" s="63"/>
      <c r="G82" s="63"/>
      <c r="H82" s="65"/>
    </row>
    <row r="83" spans="2:8">
      <c r="B83" s="171"/>
      <c r="C83" s="9"/>
      <c r="D83" s="9"/>
      <c r="E83" s="9"/>
      <c r="F83" s="9"/>
      <c r="G83" s="9"/>
      <c r="H83" s="68"/>
    </row>
    <row r="84" spans="2:8">
      <c r="B84" s="171"/>
      <c r="C84" s="9"/>
      <c r="D84" s="9"/>
      <c r="E84" s="9"/>
      <c r="F84" s="9"/>
      <c r="G84" s="9"/>
      <c r="H84" s="68"/>
    </row>
    <row r="85" spans="2:8">
      <c r="B85" s="171"/>
      <c r="C85" s="9"/>
      <c r="D85" s="9"/>
      <c r="E85" s="9"/>
      <c r="F85" s="9"/>
      <c r="G85" s="9"/>
      <c r="H85" s="68"/>
    </row>
    <row r="86" spans="2:8" ht="15.75" thickBot="1">
      <c r="B86" s="172"/>
      <c r="C86" s="48"/>
      <c r="D86" s="48"/>
      <c r="E86" s="48"/>
      <c r="F86" s="48"/>
      <c r="G86" s="48"/>
      <c r="H86" s="71"/>
    </row>
    <row r="87" spans="2:8">
      <c r="B87" s="173"/>
      <c r="C87" s="9"/>
      <c r="D87" s="9"/>
      <c r="E87" s="9"/>
      <c r="F87" s="9"/>
      <c r="G87" s="9"/>
      <c r="H87" s="9"/>
    </row>
    <row r="88" spans="2:8" ht="15.75" thickBot="1">
      <c r="B88" s="169" t="s">
        <v>256</v>
      </c>
      <c r="C88" t="s">
        <v>262</v>
      </c>
    </row>
    <row r="89" spans="2:8">
      <c r="B89" s="170"/>
      <c r="C89" s="63"/>
      <c r="D89" s="63"/>
      <c r="E89" s="63"/>
      <c r="F89" s="63"/>
      <c r="G89" s="63"/>
      <c r="H89" s="65"/>
    </row>
    <row r="90" spans="2:8">
      <c r="B90" s="171"/>
      <c r="C90" s="9"/>
      <c r="D90" s="9"/>
      <c r="E90" s="9"/>
      <c r="F90" s="9"/>
      <c r="G90" s="9"/>
      <c r="H90" s="68"/>
    </row>
    <row r="91" spans="2:8">
      <c r="B91" s="171"/>
      <c r="C91" s="9"/>
      <c r="D91" s="9"/>
      <c r="E91" s="9"/>
      <c r="F91" s="9"/>
      <c r="G91" s="9"/>
      <c r="H91" s="68"/>
    </row>
    <row r="92" spans="2:8">
      <c r="B92" s="171"/>
      <c r="C92" s="9"/>
      <c r="D92" s="9"/>
      <c r="E92" s="9"/>
      <c r="F92" s="9"/>
      <c r="G92" s="9"/>
      <c r="H92" s="68"/>
    </row>
    <row r="93" spans="2:8" ht="15.75" thickBot="1">
      <c r="B93" s="172"/>
      <c r="C93" s="48"/>
      <c r="D93" s="48"/>
      <c r="E93" s="48"/>
      <c r="F93" s="48"/>
      <c r="G93" s="48"/>
      <c r="H93" s="71"/>
    </row>
    <row r="94" spans="2:8">
      <c r="B94" s="173"/>
      <c r="C94" s="9"/>
      <c r="D94" s="9"/>
      <c r="E94" s="9"/>
      <c r="F94" s="9"/>
      <c r="G94" s="9"/>
      <c r="H94" s="9"/>
    </row>
    <row r="95" spans="2:8" ht="15.75" thickBot="1">
      <c r="B95" s="169" t="s">
        <v>257</v>
      </c>
      <c r="C95" t="s">
        <v>263</v>
      </c>
    </row>
    <row r="96" spans="2:8">
      <c r="B96" s="170"/>
      <c r="C96" s="63"/>
      <c r="D96" s="63"/>
      <c r="E96" s="63"/>
      <c r="F96" s="63"/>
      <c r="G96" s="63"/>
      <c r="H96" s="65"/>
    </row>
    <row r="97" spans="2:8">
      <c r="B97" s="171"/>
      <c r="C97" s="9"/>
      <c r="D97" s="9"/>
      <c r="E97" s="9"/>
      <c r="F97" s="9"/>
      <c r="G97" s="9"/>
      <c r="H97" s="68"/>
    </row>
    <row r="98" spans="2:8">
      <c r="B98" s="171"/>
      <c r="C98" s="9"/>
      <c r="D98" s="9"/>
      <c r="E98" s="9"/>
      <c r="F98" s="9"/>
      <c r="G98" s="9"/>
      <c r="H98" s="68"/>
    </row>
    <row r="99" spans="2:8">
      <c r="B99" s="171"/>
      <c r="C99" s="9"/>
      <c r="D99" s="9"/>
      <c r="E99" s="9"/>
      <c r="F99" s="9"/>
      <c r="G99" s="9"/>
      <c r="H99" s="68"/>
    </row>
    <row r="100" spans="2:8" ht="15.75" thickBot="1">
      <c r="B100" s="172"/>
      <c r="C100" s="48"/>
      <c r="D100" s="48"/>
      <c r="E100" s="48"/>
      <c r="F100" s="48"/>
      <c r="G100" s="48"/>
      <c r="H100" s="71"/>
    </row>
    <row r="101" spans="2:8" ht="15.75" thickBot="1">
      <c r="B101" s="169" t="s">
        <v>258</v>
      </c>
      <c r="C101" t="s">
        <v>264</v>
      </c>
    </row>
    <row r="102" spans="2:8">
      <c r="B102" s="170"/>
      <c r="C102" s="63"/>
      <c r="D102" s="63"/>
      <c r="E102" s="63"/>
      <c r="F102" s="63"/>
      <c r="G102" s="63"/>
      <c r="H102" s="65"/>
    </row>
    <row r="103" spans="2:8">
      <c r="B103" s="171"/>
      <c r="C103" s="9"/>
      <c r="D103" s="9"/>
      <c r="E103" s="9"/>
      <c r="F103" s="9"/>
      <c r="G103" s="9"/>
      <c r="H103" s="68"/>
    </row>
    <row r="104" spans="2:8">
      <c r="B104" s="171"/>
      <c r="C104" s="9"/>
      <c r="D104" s="9"/>
      <c r="E104" s="9"/>
      <c r="F104" s="9"/>
      <c r="G104" s="9"/>
      <c r="H104" s="68"/>
    </row>
    <row r="105" spans="2:8">
      <c r="B105" s="171"/>
      <c r="C105" s="9"/>
      <c r="D105" s="9"/>
      <c r="E105" s="9"/>
      <c r="F105" s="9"/>
      <c r="G105" s="9"/>
      <c r="H105" s="68"/>
    </row>
    <row r="106" spans="2:8" ht="15.75" thickBot="1">
      <c r="B106" s="172"/>
      <c r="C106" s="48"/>
      <c r="D106" s="48"/>
      <c r="E106" s="48"/>
      <c r="F106" s="48"/>
      <c r="G106" s="48"/>
      <c r="H106" s="71"/>
    </row>
    <row r="107" spans="2:8" ht="15.75" thickBot="1">
      <c r="B107" s="169" t="s">
        <v>259</v>
      </c>
      <c r="C107" t="s">
        <v>265</v>
      </c>
    </row>
    <row r="108" spans="2:8">
      <c r="B108" s="170"/>
      <c r="C108" s="63"/>
      <c r="D108" s="63"/>
      <c r="E108" s="63"/>
      <c r="F108" s="63"/>
      <c r="G108" s="63"/>
      <c r="H108" s="65"/>
    </row>
    <row r="109" spans="2:8">
      <c r="B109" s="171"/>
      <c r="C109" s="9"/>
      <c r="D109" s="9"/>
      <c r="E109" s="9"/>
      <c r="F109" s="9"/>
      <c r="G109" s="9"/>
      <c r="H109" s="68"/>
    </row>
    <row r="110" spans="2:8">
      <c r="B110" s="171"/>
      <c r="C110" s="9"/>
      <c r="D110" s="9"/>
      <c r="E110" s="9"/>
      <c r="F110" s="9"/>
      <c r="G110" s="9"/>
      <c r="H110" s="68"/>
    </row>
    <row r="111" spans="2:8">
      <c r="B111" s="171"/>
      <c r="C111" s="9"/>
      <c r="D111" s="9"/>
      <c r="E111" s="9"/>
      <c r="F111" s="9"/>
      <c r="G111" s="9"/>
      <c r="H111" s="68"/>
    </row>
    <row r="112" spans="2:8" ht="15.75" thickBot="1">
      <c r="B112" s="172"/>
      <c r="C112" s="48"/>
      <c r="D112" s="48"/>
      <c r="E112" s="48"/>
      <c r="F112" s="48"/>
      <c r="G112" s="48"/>
      <c r="H112" s="71"/>
    </row>
    <row r="114" spans="2:8" ht="15.75" thickBot="1">
      <c r="B114" s="169" t="s">
        <v>249</v>
      </c>
      <c r="C114" t="s">
        <v>266</v>
      </c>
    </row>
    <row r="115" spans="2:8">
      <c r="B115" s="170"/>
      <c r="C115" s="63"/>
      <c r="D115" s="63"/>
      <c r="E115" s="63"/>
      <c r="F115" s="63"/>
      <c r="G115" s="63"/>
      <c r="H115" s="65"/>
    </row>
    <row r="116" spans="2:8">
      <c r="B116" s="171"/>
      <c r="C116" s="9"/>
      <c r="D116" s="9"/>
      <c r="E116" s="9"/>
      <c r="F116" s="9"/>
      <c r="G116" s="9"/>
      <c r="H116" s="68"/>
    </row>
    <row r="117" spans="2:8">
      <c r="B117" s="171"/>
      <c r="C117" s="9"/>
      <c r="D117" s="9"/>
      <c r="E117" s="9"/>
      <c r="F117" s="9"/>
      <c r="G117" s="9"/>
      <c r="H117" s="68"/>
    </row>
    <row r="118" spans="2:8">
      <c r="B118" s="171"/>
      <c r="C118" s="9"/>
      <c r="D118" s="9"/>
      <c r="E118" s="9"/>
      <c r="F118" s="9"/>
      <c r="G118" s="9"/>
      <c r="H118" s="68"/>
    </row>
    <row r="119" spans="2:8" ht="15.75" thickBot="1">
      <c r="B119" s="172"/>
      <c r="C119" s="48"/>
      <c r="D119" s="48"/>
      <c r="E119" s="48"/>
      <c r="F119" s="48"/>
      <c r="G119" s="48"/>
      <c r="H119" s="71"/>
    </row>
    <row r="121" spans="2:8" ht="15.75" thickBot="1">
      <c r="B121" s="169" t="s">
        <v>275</v>
      </c>
      <c r="C121" t="s">
        <v>276</v>
      </c>
    </row>
    <row r="122" spans="2:8">
      <c r="B122" s="170"/>
      <c r="C122" s="63"/>
      <c r="D122" s="63"/>
      <c r="E122" s="63"/>
      <c r="F122" s="63"/>
      <c r="G122" s="63"/>
      <c r="H122" s="65"/>
    </row>
    <row r="123" spans="2:8">
      <c r="B123" s="171"/>
      <c r="C123" s="9"/>
      <c r="D123" s="9"/>
      <c r="E123" s="9"/>
      <c r="F123" s="9"/>
      <c r="G123" s="9"/>
      <c r="H123" s="68"/>
    </row>
    <row r="124" spans="2:8">
      <c r="B124" s="171"/>
      <c r="C124" s="9"/>
      <c r="D124" s="9"/>
      <c r="E124" s="9"/>
      <c r="F124" s="9"/>
      <c r="G124" s="9"/>
      <c r="H124" s="68"/>
    </row>
    <row r="125" spans="2:8">
      <c r="B125" s="171"/>
      <c r="C125" s="9"/>
      <c r="D125" s="9"/>
      <c r="E125" s="9"/>
      <c r="F125" s="9"/>
      <c r="G125" s="9"/>
      <c r="H125" s="68"/>
    </row>
    <row r="126" spans="2:8" ht="15.75" thickBot="1">
      <c r="B126" s="172"/>
      <c r="C126" s="48"/>
      <c r="D126" s="48"/>
      <c r="E126" s="48"/>
      <c r="F126" s="48"/>
      <c r="G126" s="48"/>
      <c r="H126" s="71"/>
    </row>
    <row r="127" spans="2:8">
      <c r="B127" s="173"/>
      <c r="C127" s="9"/>
      <c r="D127" s="9"/>
      <c r="E127" s="9"/>
      <c r="F127" s="9"/>
      <c r="G127" s="9"/>
      <c r="H127" s="9"/>
    </row>
    <row r="128" spans="2:8">
      <c r="B128" s="173"/>
      <c r="C128" s="9"/>
      <c r="D128" s="9"/>
      <c r="E128" s="9"/>
      <c r="F128" s="9"/>
      <c r="G128" s="9"/>
      <c r="H128" s="9"/>
    </row>
  </sheetData>
  <mergeCells count="1">
    <mergeCell ref="B8:H8"/>
  </mergeCells>
  <pageMargins left="0.70866141732283472" right="0.70866141732283472" top="1.2204724409448819" bottom="0.74803149606299213" header="0.31496062992125984" footer="0.31496062992125984"/>
  <pageSetup paperSize="9" orientation="portrait" r:id="rId1"/>
  <headerFooter>
    <oddHeader xml:space="preserve">&amp;C&amp;"Arial Black,Normal"&amp;14 3 ANG CIA LTDA.
PAPELES DE TRABAJO DEL 
CONOCIMIENTO DEL NEGOCIO&amp;R&amp;G
</oddHeader>
    <oddFooter>&amp;C&amp;Z&amp;F&amp;R&amp;N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view="pageBreakPreview" zoomScaleNormal="100" zoomScaleSheetLayoutView="100" workbookViewId="0">
      <selection activeCell="E3" sqref="E3:L3"/>
    </sheetView>
  </sheetViews>
  <sheetFormatPr baseColWidth="10" defaultRowHeight="15"/>
  <cols>
    <col min="1" max="1" width="1.5703125" style="5" customWidth="1"/>
    <col min="2" max="2" width="4.28515625" customWidth="1"/>
    <col min="3" max="3" width="3.85546875" style="37" customWidth="1"/>
    <col min="4" max="4" width="13" customWidth="1"/>
    <col min="6" max="6" width="21.85546875" customWidth="1"/>
    <col min="7" max="7" width="18" customWidth="1"/>
    <col min="8" max="8" width="8.7109375" style="4" customWidth="1"/>
    <col min="9" max="9" width="13.7109375" style="4" customWidth="1"/>
    <col min="10" max="10" width="12.42578125" customWidth="1"/>
    <col min="11" max="11" width="4.85546875" customWidth="1"/>
    <col min="12" max="17" width="36.5703125" customWidth="1"/>
  </cols>
  <sheetData>
    <row r="1" spans="1:18" s="13" customFormat="1" ht="21">
      <c r="A1" s="12"/>
      <c r="B1" s="263" t="s">
        <v>45</v>
      </c>
      <c r="C1" s="264"/>
      <c r="D1" s="264"/>
      <c r="E1" s="264"/>
      <c r="F1" s="264"/>
      <c r="G1" s="264"/>
      <c r="H1" s="264"/>
      <c r="I1" s="264"/>
      <c r="J1" s="264"/>
      <c r="K1" s="264"/>
      <c r="L1" s="265"/>
      <c r="M1" s="190"/>
      <c r="N1" s="190"/>
      <c r="O1" s="190"/>
      <c r="P1" s="190"/>
      <c r="Q1" s="190"/>
    </row>
    <row r="2" spans="1:18" s="17" customFormat="1" ht="17.25">
      <c r="A2" s="16"/>
      <c r="B2" s="17" t="s">
        <v>0</v>
      </c>
      <c r="C2" s="34"/>
      <c r="D2" s="18"/>
      <c r="E2" s="269" t="str">
        <f>+REDACCIÓN!D2</f>
        <v>TABACALERA MENHURSA S.A.</v>
      </c>
      <c r="F2" s="269"/>
      <c r="G2" s="269"/>
      <c r="H2" s="269"/>
      <c r="I2" s="269"/>
      <c r="J2" s="269"/>
      <c r="K2" s="269"/>
      <c r="L2" s="269"/>
      <c r="M2" s="189"/>
      <c r="N2" s="189"/>
      <c r="O2" s="189"/>
      <c r="P2" s="189"/>
      <c r="Q2" s="189"/>
    </row>
    <row r="3" spans="1:18" s="17" customFormat="1" ht="17.25">
      <c r="A3" s="16"/>
      <c r="B3" s="17" t="s">
        <v>31</v>
      </c>
      <c r="C3" s="34"/>
      <c r="D3" s="18"/>
      <c r="E3" s="269" t="s">
        <v>379</v>
      </c>
      <c r="F3" s="269"/>
      <c r="G3" s="269"/>
      <c r="H3" s="269"/>
      <c r="I3" s="269"/>
      <c r="J3" s="269"/>
      <c r="K3" s="269"/>
      <c r="L3" s="269"/>
      <c r="M3" s="189"/>
      <c r="N3" s="189"/>
      <c r="O3" s="189"/>
      <c r="P3" s="189"/>
      <c r="Q3" s="189"/>
    </row>
    <row r="4" spans="1:18" s="15" customFormat="1" ht="21">
      <c r="A4" s="14"/>
      <c r="B4" s="17" t="s">
        <v>32</v>
      </c>
      <c r="C4" s="35"/>
      <c r="D4" s="11"/>
      <c r="E4" s="269" t="s">
        <v>46</v>
      </c>
      <c r="F4" s="269"/>
      <c r="G4" s="269"/>
      <c r="H4" s="269"/>
      <c r="I4" s="269"/>
      <c r="J4" s="269"/>
      <c r="K4" s="269"/>
      <c r="L4" s="269"/>
      <c r="M4" s="189"/>
      <c r="N4" s="189"/>
      <c r="O4" s="189"/>
      <c r="P4" s="189"/>
      <c r="Q4" s="189"/>
    </row>
    <row r="5" spans="1:18" s="2" customFormat="1" ht="16.5" thickBot="1">
      <c r="A5" s="10"/>
      <c r="B5" s="154" t="s">
        <v>1</v>
      </c>
      <c r="C5" s="109"/>
      <c r="D5" s="110"/>
      <c r="E5" s="101" t="s">
        <v>333</v>
      </c>
      <c r="F5" s="111"/>
      <c r="G5" s="111"/>
      <c r="H5" s="111" t="s">
        <v>2</v>
      </c>
      <c r="I5" s="111"/>
      <c r="J5" s="111"/>
      <c r="K5" s="111"/>
      <c r="L5" s="111"/>
      <c r="M5" s="111"/>
      <c r="N5" s="111"/>
      <c r="O5" s="111"/>
      <c r="P5" s="111"/>
      <c r="Q5" s="111"/>
    </row>
    <row r="6" spans="1:18" s="2" customFormat="1" ht="15.75">
      <c r="A6" s="10"/>
      <c r="B6" s="154" t="s">
        <v>232</v>
      </c>
      <c r="C6" s="109"/>
      <c r="D6" s="110"/>
      <c r="E6" s="101" t="s">
        <v>367</v>
      </c>
      <c r="F6" s="111"/>
      <c r="G6" s="111"/>
      <c r="H6" s="111" t="s">
        <v>2</v>
      </c>
      <c r="I6" s="111"/>
      <c r="J6" s="111"/>
      <c r="K6" s="111"/>
      <c r="L6" s="19" t="s">
        <v>369</v>
      </c>
      <c r="M6" s="101"/>
      <c r="N6" s="101"/>
      <c r="O6" s="101"/>
      <c r="P6" s="101"/>
      <c r="Q6" s="101"/>
    </row>
    <row r="7" spans="1:18" s="2" customFormat="1" ht="20.25" customHeight="1">
      <c r="A7" s="10"/>
      <c r="B7" s="23" t="s">
        <v>4</v>
      </c>
      <c r="C7" s="36"/>
      <c r="D7" s="24"/>
      <c r="E7" s="23" t="s">
        <v>33</v>
      </c>
      <c r="G7" s="23" t="s">
        <v>18</v>
      </c>
      <c r="H7" s="1"/>
      <c r="I7" s="1"/>
      <c r="J7" s="1"/>
      <c r="K7" s="1"/>
      <c r="L7" s="20" t="s">
        <v>5</v>
      </c>
      <c r="M7" s="191"/>
      <c r="N7" s="191"/>
      <c r="O7" s="191"/>
      <c r="P7" s="191"/>
      <c r="Q7" s="191"/>
    </row>
    <row r="8" spans="1:18" s="2" customFormat="1" ht="15.75">
      <c r="A8" s="10"/>
      <c r="B8" s="22" t="s">
        <v>6</v>
      </c>
      <c r="C8" s="36"/>
      <c r="D8" s="25" t="s">
        <v>7</v>
      </c>
      <c r="E8" s="26">
        <v>0</v>
      </c>
      <c r="G8" s="25" t="s">
        <v>25</v>
      </c>
      <c r="H8" s="27"/>
      <c r="I8" s="27"/>
      <c r="L8" s="159"/>
    </row>
    <row r="9" spans="1:18" s="2" customFormat="1" ht="16.5" thickBot="1">
      <c r="A9" s="10"/>
      <c r="B9" s="22" t="s">
        <v>8</v>
      </c>
      <c r="C9" s="36"/>
      <c r="D9" s="25" t="s">
        <v>9</v>
      </c>
      <c r="E9" s="26">
        <v>1</v>
      </c>
      <c r="G9" s="25" t="s">
        <v>26</v>
      </c>
      <c r="H9" s="27"/>
      <c r="I9" s="27"/>
      <c r="L9" s="21"/>
    </row>
    <row r="10" spans="1:18" s="2" customFormat="1" ht="15.75">
      <c r="A10" s="10"/>
      <c r="B10" s="22" t="s">
        <v>10</v>
      </c>
      <c r="C10" s="36"/>
      <c r="D10" s="25" t="s">
        <v>11</v>
      </c>
      <c r="E10" s="26" t="s">
        <v>34</v>
      </c>
      <c r="G10" s="25" t="s">
        <v>27</v>
      </c>
      <c r="H10" s="27"/>
      <c r="I10" s="27"/>
      <c r="L10" s="222" t="str">
        <f>+REDACCIÓN!F7</f>
        <v>Papel de Trabajo actualizado septiembre-2022</v>
      </c>
    </row>
    <row r="11" spans="1:18" s="2" customFormat="1" ht="15.75">
      <c r="A11" s="10"/>
      <c r="B11" s="22" t="s">
        <v>331</v>
      </c>
      <c r="C11" s="36"/>
      <c r="D11" s="25"/>
      <c r="E11" s="6" t="s">
        <v>332</v>
      </c>
      <c r="G11" s="25"/>
      <c r="H11" s="27"/>
      <c r="I11" s="27"/>
      <c r="L11" s="222"/>
    </row>
    <row r="12" spans="1:18" s="6" customFormat="1" ht="15.75">
      <c r="A12" s="5"/>
      <c r="B12" s="7" t="s">
        <v>43</v>
      </c>
      <c r="C12" s="38"/>
      <c r="E12" s="31" t="s">
        <v>76</v>
      </c>
      <c r="H12" s="28"/>
      <c r="I12" s="28"/>
    </row>
    <row r="13" spans="1:18" s="6" customFormat="1" ht="15.75" customHeight="1">
      <c r="A13" s="5"/>
      <c r="B13" s="29"/>
      <c r="C13" s="39"/>
      <c r="D13" s="29"/>
      <c r="E13" s="31" t="s">
        <v>44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</row>
    <row r="14" spans="1:18" s="6" customFormat="1" ht="15.75" customHeight="1" thickBot="1">
      <c r="A14" s="5"/>
      <c r="B14" s="29"/>
      <c r="C14" s="39"/>
      <c r="D14" s="29"/>
      <c r="E14" s="31" t="s">
        <v>77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18" s="164" customFormat="1" ht="30" customHeight="1" thickBot="1">
      <c r="A15" s="160"/>
      <c r="B15" s="161" t="s">
        <v>16</v>
      </c>
      <c r="C15" s="161" t="s">
        <v>17</v>
      </c>
      <c r="D15" s="266" t="s">
        <v>20</v>
      </c>
      <c r="E15" s="267"/>
      <c r="F15" s="267"/>
      <c r="G15" s="268"/>
      <c r="H15" s="162" t="s">
        <v>35</v>
      </c>
      <c r="I15" s="163" t="s">
        <v>24</v>
      </c>
      <c r="J15" s="162" t="s">
        <v>18</v>
      </c>
      <c r="K15" s="163" t="s">
        <v>21</v>
      </c>
      <c r="L15" s="161" t="s">
        <v>19</v>
      </c>
      <c r="M15" s="192"/>
      <c r="N15" s="192"/>
      <c r="O15" s="192"/>
      <c r="P15" s="192"/>
      <c r="Q15" s="192"/>
      <c r="R15" s="164" t="s">
        <v>10</v>
      </c>
    </row>
    <row r="16" spans="1:18" s="8" customFormat="1" ht="15.75">
      <c r="A16" s="40"/>
      <c r="B16" s="56" t="s">
        <v>64</v>
      </c>
      <c r="C16" s="58"/>
      <c r="D16" s="32"/>
      <c r="E16" s="32"/>
      <c r="F16" s="32"/>
      <c r="G16" s="32"/>
      <c r="H16" s="53"/>
      <c r="I16" s="33"/>
      <c r="J16" s="53"/>
      <c r="K16" s="43">
        <f>SUMIF(H16,B$9,E$9)</f>
        <v>0</v>
      </c>
      <c r="L16" s="50"/>
      <c r="M16" s="32"/>
      <c r="N16" s="32"/>
      <c r="O16" s="32"/>
      <c r="P16" s="32"/>
      <c r="Q16" s="32"/>
      <c r="R16" s="8">
        <f ca="1">SUMIF(H16:H111,B$10,E$9)</f>
        <v>0</v>
      </c>
    </row>
    <row r="17" spans="1:18" s="8" customFormat="1" ht="15.75">
      <c r="A17" s="40"/>
      <c r="B17" s="72"/>
      <c r="C17" s="73">
        <v>1</v>
      </c>
      <c r="D17" s="254" t="s">
        <v>63</v>
      </c>
      <c r="E17" s="254"/>
      <c r="F17" s="254"/>
      <c r="G17" s="254"/>
      <c r="H17" s="74"/>
      <c r="I17" s="75"/>
      <c r="J17" s="74"/>
      <c r="K17" s="76">
        <f t="shared" ref="K17:K21" si="0">SUMIF(H17,B$9,E$9)</f>
        <v>0</v>
      </c>
      <c r="L17" s="72"/>
      <c r="M17" s="193"/>
      <c r="N17" s="193"/>
      <c r="O17" s="193"/>
      <c r="P17" s="193"/>
      <c r="Q17" s="193"/>
      <c r="R17" s="8">
        <f t="shared" ref="R17:R80" ca="1" si="1">SUMIF(H17:H112,B$10,E$9)</f>
        <v>0</v>
      </c>
    </row>
    <row r="18" spans="1:18" s="8" customFormat="1" ht="17.25">
      <c r="A18" s="40" t="s">
        <v>13</v>
      </c>
      <c r="B18" s="50"/>
      <c r="C18" s="58">
        <v>2</v>
      </c>
      <c r="D18" s="255" t="s">
        <v>65</v>
      </c>
      <c r="E18" s="255"/>
      <c r="F18" s="255"/>
      <c r="G18" s="255"/>
      <c r="H18" s="53"/>
      <c r="I18" s="33"/>
      <c r="J18" s="53"/>
      <c r="K18" s="43">
        <f>SUMIF(H18,B$9,E$9)</f>
        <v>0</v>
      </c>
      <c r="L18" s="50"/>
      <c r="M18" s="32"/>
      <c r="N18" s="32"/>
      <c r="O18" s="32"/>
      <c r="P18" s="32"/>
      <c r="Q18" s="32"/>
      <c r="R18" s="8">
        <f t="shared" ca="1" si="1"/>
        <v>0</v>
      </c>
    </row>
    <row r="19" spans="1:18" s="8" customFormat="1" ht="15.75">
      <c r="A19" s="40"/>
      <c r="B19" s="72"/>
      <c r="C19" s="58">
        <v>3</v>
      </c>
      <c r="D19" s="254" t="s">
        <v>66</v>
      </c>
      <c r="E19" s="254"/>
      <c r="F19" s="254"/>
      <c r="G19" s="254"/>
      <c r="H19" s="74"/>
      <c r="I19" s="75"/>
      <c r="J19" s="74"/>
      <c r="K19" s="76">
        <f t="shared" si="0"/>
        <v>0</v>
      </c>
      <c r="L19" s="72"/>
      <c r="M19" s="193"/>
      <c r="N19" s="193"/>
      <c r="O19" s="193"/>
      <c r="P19" s="193"/>
      <c r="Q19" s="193"/>
      <c r="R19" s="8">
        <f t="shared" ca="1" si="1"/>
        <v>0</v>
      </c>
    </row>
    <row r="20" spans="1:18" ht="15.75">
      <c r="A20" s="41"/>
      <c r="B20" s="56" t="s">
        <v>15</v>
      </c>
      <c r="C20" s="59"/>
      <c r="D20" s="9"/>
      <c r="E20" s="9"/>
      <c r="F20" s="9"/>
      <c r="G20" s="9"/>
      <c r="H20" s="54"/>
      <c r="I20" s="42"/>
      <c r="J20" s="53"/>
      <c r="K20" s="43">
        <f t="shared" si="0"/>
        <v>0</v>
      </c>
      <c r="L20" s="51"/>
      <c r="M20" s="9"/>
      <c r="N20" s="9"/>
      <c r="O20" s="9"/>
      <c r="P20" s="9"/>
      <c r="Q20" s="9"/>
      <c r="R20" s="8">
        <f t="shared" ca="1" si="1"/>
        <v>0</v>
      </c>
    </row>
    <row r="21" spans="1:18" s="6" customFormat="1" ht="17.25">
      <c r="A21" s="41" t="s">
        <v>13</v>
      </c>
      <c r="B21" s="52"/>
      <c r="C21" s="58">
        <v>4</v>
      </c>
      <c r="D21" s="255" t="s">
        <v>22</v>
      </c>
      <c r="E21" s="255"/>
      <c r="F21" s="255"/>
      <c r="G21" s="255"/>
      <c r="H21" s="55" t="s">
        <v>6</v>
      </c>
      <c r="I21" s="44"/>
      <c r="J21" s="53"/>
      <c r="K21" s="43">
        <f t="shared" si="0"/>
        <v>0</v>
      </c>
      <c r="L21" s="52"/>
      <c r="M21" s="43"/>
      <c r="N21" s="43"/>
      <c r="O21" s="43"/>
      <c r="P21" s="43"/>
      <c r="Q21" s="43"/>
      <c r="R21" s="8">
        <f t="shared" ca="1" si="1"/>
        <v>0</v>
      </c>
    </row>
    <row r="22" spans="1:18" s="6" customFormat="1" ht="48.75">
      <c r="A22" s="41" t="s">
        <v>14</v>
      </c>
      <c r="B22" s="77"/>
      <c r="C22" s="58">
        <v>5</v>
      </c>
      <c r="D22" s="254" t="s">
        <v>215</v>
      </c>
      <c r="E22" s="254"/>
      <c r="F22" s="254"/>
      <c r="G22" s="254"/>
      <c r="H22" s="78" t="s">
        <v>8</v>
      </c>
      <c r="I22" s="79"/>
      <c r="J22" s="74"/>
      <c r="K22" s="76">
        <f t="shared" ref="K22:K37" si="2">SUMIF(H22,B$9,E$9)</f>
        <v>1</v>
      </c>
      <c r="L22" s="77"/>
      <c r="M22" s="76"/>
      <c r="N22" s="76"/>
      <c r="O22" s="76"/>
      <c r="P22" s="76"/>
      <c r="Q22" s="76"/>
      <c r="R22" s="8">
        <f t="shared" ca="1" si="1"/>
        <v>0</v>
      </c>
    </row>
    <row r="23" spans="1:18" s="6" customFormat="1" ht="33" customHeight="1">
      <c r="A23" s="41" t="s">
        <v>12</v>
      </c>
      <c r="B23" s="52"/>
      <c r="C23" s="58">
        <v>6</v>
      </c>
      <c r="D23" s="255" t="s">
        <v>23</v>
      </c>
      <c r="E23" s="255"/>
      <c r="F23" s="255"/>
      <c r="G23" s="255"/>
      <c r="H23" s="55"/>
      <c r="I23" s="44"/>
      <c r="J23" s="53"/>
      <c r="K23" s="43">
        <f t="shared" si="2"/>
        <v>0</v>
      </c>
      <c r="L23" s="52"/>
      <c r="M23" s="43"/>
      <c r="N23" s="43"/>
      <c r="O23" s="43"/>
      <c r="P23" s="43"/>
      <c r="Q23" s="43"/>
      <c r="R23" s="8">
        <f t="shared" ca="1" si="1"/>
        <v>0</v>
      </c>
    </row>
    <row r="24" spans="1:18" s="6" customFormat="1" ht="17.25">
      <c r="A24" s="41" t="s">
        <v>13</v>
      </c>
      <c r="B24" s="77"/>
      <c r="C24" s="58">
        <v>7</v>
      </c>
      <c r="D24" s="254" t="s">
        <v>29</v>
      </c>
      <c r="E24" s="254"/>
      <c r="F24" s="254"/>
      <c r="G24" s="254"/>
      <c r="H24" s="78"/>
      <c r="I24" s="79"/>
      <c r="J24" s="74"/>
      <c r="K24" s="76">
        <f t="shared" si="2"/>
        <v>0</v>
      </c>
      <c r="L24" s="77"/>
      <c r="M24" s="76"/>
      <c r="N24" s="76"/>
      <c r="O24" s="76"/>
      <c r="P24" s="76"/>
      <c r="Q24" s="76"/>
      <c r="R24" s="8">
        <f t="shared" ca="1" si="1"/>
        <v>0</v>
      </c>
    </row>
    <row r="25" spans="1:18" s="6" customFormat="1" ht="17.25">
      <c r="A25" s="41" t="s">
        <v>13</v>
      </c>
      <c r="B25" s="52"/>
      <c r="C25" s="58">
        <v>8</v>
      </c>
      <c r="D25" s="255" t="s">
        <v>30</v>
      </c>
      <c r="E25" s="255"/>
      <c r="F25" s="255"/>
      <c r="G25" s="255"/>
      <c r="H25" s="55"/>
      <c r="I25" s="44"/>
      <c r="J25" s="53"/>
      <c r="K25" s="43">
        <f t="shared" si="2"/>
        <v>0</v>
      </c>
      <c r="L25" s="52"/>
      <c r="M25" s="43"/>
      <c r="N25" s="43"/>
      <c r="O25" s="43"/>
      <c r="P25" s="43"/>
      <c r="Q25" s="43"/>
      <c r="R25" s="8">
        <f t="shared" ca="1" si="1"/>
        <v>0</v>
      </c>
    </row>
    <row r="26" spans="1:18" s="6" customFormat="1" ht="33">
      <c r="A26" s="41" t="s">
        <v>12</v>
      </c>
      <c r="B26" s="77"/>
      <c r="C26" s="58">
        <v>9</v>
      </c>
      <c r="D26" s="253" t="s">
        <v>277</v>
      </c>
      <c r="E26" s="254"/>
      <c r="F26" s="254"/>
      <c r="G26" s="254"/>
      <c r="H26" s="78"/>
      <c r="I26" s="79"/>
      <c r="J26" s="74"/>
      <c r="K26" s="76">
        <f t="shared" si="2"/>
        <v>0</v>
      </c>
      <c r="L26" s="77"/>
      <c r="M26" s="76"/>
      <c r="N26" s="76"/>
      <c r="O26" s="76"/>
      <c r="P26" s="76"/>
      <c r="Q26" s="76"/>
      <c r="R26" s="8">
        <f t="shared" ca="1" si="1"/>
        <v>0</v>
      </c>
    </row>
    <row r="27" spans="1:18" ht="15.75">
      <c r="A27" s="41"/>
      <c r="B27" s="56" t="s">
        <v>68</v>
      </c>
      <c r="C27" s="58"/>
      <c r="D27" s="9"/>
      <c r="E27" s="9"/>
      <c r="F27" s="9"/>
      <c r="G27" s="9"/>
      <c r="H27" s="55"/>
      <c r="I27" s="42"/>
      <c r="J27" s="53"/>
      <c r="K27" s="43">
        <f t="shared" si="2"/>
        <v>0</v>
      </c>
      <c r="L27" s="51"/>
      <c r="M27" s="9"/>
      <c r="N27" s="9"/>
      <c r="O27" s="9"/>
      <c r="P27" s="9"/>
      <c r="Q27" s="9"/>
      <c r="R27" s="8">
        <f t="shared" ca="1" si="1"/>
        <v>0</v>
      </c>
    </row>
    <row r="28" spans="1:18" ht="15.75">
      <c r="A28" s="41"/>
      <c r="B28" s="51"/>
      <c r="C28" s="58">
        <v>10</v>
      </c>
      <c r="D28" s="255" t="s">
        <v>216</v>
      </c>
      <c r="E28" s="255"/>
      <c r="F28" s="255"/>
      <c r="G28" s="255"/>
      <c r="H28" s="55"/>
      <c r="I28" s="42"/>
      <c r="J28" s="53"/>
      <c r="K28" s="43">
        <f t="shared" si="2"/>
        <v>0</v>
      </c>
      <c r="L28" s="51"/>
      <c r="M28" s="9"/>
      <c r="N28" s="9"/>
      <c r="O28" s="9"/>
      <c r="P28" s="9"/>
      <c r="Q28" s="9"/>
      <c r="R28" s="8">
        <f t="shared" ca="1" si="1"/>
        <v>0</v>
      </c>
    </row>
    <row r="29" spans="1:18" ht="33">
      <c r="A29" s="41" t="s">
        <v>12</v>
      </c>
      <c r="B29" s="80"/>
      <c r="C29" s="73">
        <v>11</v>
      </c>
      <c r="D29" s="254" t="s">
        <v>217</v>
      </c>
      <c r="E29" s="254"/>
      <c r="F29" s="254"/>
      <c r="G29" s="254"/>
      <c r="H29" s="78"/>
      <c r="I29" s="81"/>
      <c r="J29" s="74"/>
      <c r="K29" s="76">
        <f t="shared" si="2"/>
        <v>0</v>
      </c>
      <c r="L29" s="80"/>
      <c r="M29" s="194"/>
      <c r="N29" s="194"/>
      <c r="O29" s="194"/>
      <c r="P29" s="194"/>
      <c r="Q29" s="194"/>
      <c r="R29" s="8">
        <f t="shared" ca="1" si="1"/>
        <v>0</v>
      </c>
    </row>
    <row r="30" spans="1:18" ht="48.75">
      <c r="A30" s="41" t="s">
        <v>14</v>
      </c>
      <c r="B30" s="51"/>
      <c r="C30" s="73">
        <v>12</v>
      </c>
      <c r="D30" s="255" t="s">
        <v>47</v>
      </c>
      <c r="E30" s="255"/>
      <c r="F30" s="255"/>
      <c r="G30" s="255"/>
      <c r="H30" s="55"/>
      <c r="I30" s="42"/>
      <c r="J30" s="53"/>
      <c r="K30" s="43">
        <f t="shared" si="2"/>
        <v>0</v>
      </c>
      <c r="L30" s="51"/>
      <c r="M30" s="9"/>
      <c r="N30" s="9"/>
      <c r="O30" s="9"/>
      <c r="P30" s="9"/>
      <c r="Q30" s="9"/>
      <c r="R30" s="8">
        <f t="shared" ca="1" si="1"/>
        <v>0</v>
      </c>
    </row>
    <row r="31" spans="1:18" ht="64.5">
      <c r="A31" s="41" t="s">
        <v>28</v>
      </c>
      <c r="B31" s="80"/>
      <c r="C31" s="73">
        <v>13</v>
      </c>
      <c r="D31" s="253" t="s">
        <v>48</v>
      </c>
      <c r="E31" s="254"/>
      <c r="F31" s="254"/>
      <c r="G31" s="254"/>
      <c r="H31" s="78"/>
      <c r="I31" s="81"/>
      <c r="J31" s="74"/>
      <c r="K31" s="76">
        <f t="shared" si="2"/>
        <v>0</v>
      </c>
      <c r="L31" s="80"/>
      <c r="M31" s="194"/>
      <c r="N31" s="194"/>
      <c r="O31" s="194"/>
      <c r="P31" s="194"/>
      <c r="Q31" s="194"/>
      <c r="R31" s="8">
        <f t="shared" ca="1" si="1"/>
        <v>0</v>
      </c>
    </row>
    <row r="32" spans="1:18" ht="15.75" customHeight="1">
      <c r="A32" s="41"/>
      <c r="B32" s="51"/>
      <c r="C32" s="73">
        <v>14</v>
      </c>
      <c r="D32" s="261" t="s">
        <v>36</v>
      </c>
      <c r="E32" s="262"/>
      <c r="F32" s="262"/>
      <c r="G32" s="262"/>
      <c r="H32" s="55"/>
      <c r="I32" s="42"/>
      <c r="J32" s="53"/>
      <c r="K32" s="43">
        <f t="shared" si="2"/>
        <v>0</v>
      </c>
      <c r="L32" s="51"/>
      <c r="M32" s="9"/>
      <c r="N32" s="9"/>
      <c r="O32" s="9"/>
      <c r="P32" s="9"/>
      <c r="Q32" s="9"/>
      <c r="R32" s="8">
        <f t="shared" ca="1" si="1"/>
        <v>0</v>
      </c>
    </row>
    <row r="33" spans="1:18" ht="33">
      <c r="A33" s="41" t="s">
        <v>12</v>
      </c>
      <c r="B33" s="80"/>
      <c r="C33" s="73">
        <v>15</v>
      </c>
      <c r="D33" s="254" t="s">
        <v>49</v>
      </c>
      <c r="E33" s="254"/>
      <c r="F33" s="254"/>
      <c r="G33" s="254"/>
      <c r="H33" s="78"/>
      <c r="I33" s="81"/>
      <c r="J33" s="74"/>
      <c r="K33" s="76">
        <f t="shared" si="2"/>
        <v>0</v>
      </c>
      <c r="L33" s="80"/>
      <c r="M33" s="194"/>
      <c r="N33" s="194"/>
      <c r="O33" s="194"/>
      <c r="P33" s="194"/>
      <c r="Q33" s="194"/>
      <c r="R33" s="8">
        <f t="shared" ca="1" si="1"/>
        <v>0</v>
      </c>
    </row>
    <row r="34" spans="1:18" ht="15.75" customHeight="1">
      <c r="A34" s="41"/>
      <c r="B34" s="56" t="s">
        <v>69</v>
      </c>
      <c r="C34" s="58"/>
      <c r="D34" s="30"/>
      <c r="E34" s="30"/>
      <c r="F34" s="30"/>
      <c r="G34" s="30"/>
      <c r="H34" s="55"/>
      <c r="I34" s="42"/>
      <c r="J34" s="53"/>
      <c r="K34" s="43">
        <f t="shared" si="2"/>
        <v>0</v>
      </c>
      <c r="L34" s="51"/>
      <c r="M34" s="9"/>
      <c r="N34" s="9"/>
      <c r="O34" s="9"/>
      <c r="P34" s="9"/>
      <c r="Q34" s="9"/>
      <c r="R34" s="8">
        <f t="shared" ca="1" si="1"/>
        <v>0</v>
      </c>
    </row>
    <row r="35" spans="1:18" ht="17.25">
      <c r="A35" s="41" t="s">
        <v>13</v>
      </c>
      <c r="B35" s="51"/>
      <c r="C35" s="58">
        <v>16</v>
      </c>
      <c r="D35" s="255" t="s">
        <v>50</v>
      </c>
      <c r="E35" s="255"/>
      <c r="F35" s="255"/>
      <c r="G35" s="255"/>
      <c r="H35" s="55"/>
      <c r="I35" s="42"/>
      <c r="J35" s="53"/>
      <c r="K35" s="43">
        <f t="shared" si="2"/>
        <v>0</v>
      </c>
      <c r="L35" s="51"/>
      <c r="M35" s="9"/>
      <c r="N35" s="9"/>
      <c r="O35" s="9"/>
      <c r="P35" s="9"/>
      <c r="Q35" s="9"/>
      <c r="R35" s="8">
        <f t="shared" ca="1" si="1"/>
        <v>0</v>
      </c>
    </row>
    <row r="36" spans="1:18" ht="64.5">
      <c r="A36" s="41" t="s">
        <v>28</v>
      </c>
      <c r="B36" s="80"/>
      <c r="C36" s="73">
        <v>17</v>
      </c>
      <c r="D36" s="253" t="s">
        <v>282</v>
      </c>
      <c r="E36" s="254"/>
      <c r="F36" s="254"/>
      <c r="G36" s="254"/>
      <c r="H36" s="78"/>
      <c r="I36" s="81"/>
      <c r="J36" s="74"/>
      <c r="K36" s="76">
        <f t="shared" si="2"/>
        <v>0</v>
      </c>
      <c r="L36" s="80"/>
      <c r="M36" s="194"/>
      <c r="N36" s="194"/>
      <c r="O36" s="194"/>
      <c r="P36" s="194"/>
      <c r="Q36" s="194"/>
      <c r="R36" s="8">
        <f t="shared" ca="1" si="1"/>
        <v>0</v>
      </c>
    </row>
    <row r="37" spans="1:18" ht="17.25">
      <c r="A37" s="41" t="s">
        <v>13</v>
      </c>
      <c r="B37" s="51"/>
      <c r="C37" s="73">
        <v>18</v>
      </c>
      <c r="D37" s="255" t="s">
        <v>283</v>
      </c>
      <c r="E37" s="255"/>
      <c r="F37" s="255"/>
      <c r="G37" s="255"/>
      <c r="H37" s="55"/>
      <c r="I37" s="42"/>
      <c r="J37" s="53"/>
      <c r="K37" s="76">
        <f t="shared" si="2"/>
        <v>0</v>
      </c>
      <c r="L37" s="51"/>
      <c r="M37" s="9"/>
      <c r="N37" s="9"/>
      <c r="O37" s="9"/>
      <c r="P37" s="9"/>
      <c r="Q37" s="9"/>
      <c r="R37" s="8">
        <f t="shared" ca="1" si="1"/>
        <v>0</v>
      </c>
    </row>
    <row r="38" spans="1:18" ht="15.75" customHeight="1">
      <c r="A38" s="41"/>
      <c r="B38" s="56" t="s">
        <v>70</v>
      </c>
      <c r="C38" s="58"/>
      <c r="D38" s="9"/>
      <c r="E38" s="9"/>
      <c r="F38" s="9"/>
      <c r="G38" s="9"/>
      <c r="H38" s="55"/>
      <c r="I38" s="42"/>
      <c r="J38" s="53"/>
      <c r="K38" s="43">
        <f>SUMIF(H38,B$9,E$9)</f>
        <v>0</v>
      </c>
      <c r="L38" s="51"/>
      <c r="M38" s="9"/>
      <c r="N38" s="9"/>
      <c r="O38" s="9"/>
      <c r="P38" s="9"/>
      <c r="Q38" s="9"/>
      <c r="R38" s="8">
        <f t="shared" ca="1" si="1"/>
        <v>0</v>
      </c>
    </row>
    <row r="39" spans="1:18" ht="33">
      <c r="A39" s="41" t="s">
        <v>12</v>
      </c>
      <c r="B39" s="51"/>
      <c r="C39" s="58">
        <v>19</v>
      </c>
      <c r="D39" s="256" t="s">
        <v>51</v>
      </c>
      <c r="E39" s="255"/>
      <c r="F39" s="255"/>
      <c r="G39" s="255"/>
      <c r="H39" s="55"/>
      <c r="I39" s="42"/>
      <c r="J39" s="53"/>
      <c r="K39" s="43">
        <f>SUMIF(H39,B$9,E$9)</f>
        <v>0</v>
      </c>
      <c r="L39" s="51"/>
      <c r="M39" s="9"/>
      <c r="N39" s="9"/>
      <c r="O39" s="9"/>
      <c r="P39" s="9"/>
      <c r="Q39" s="9"/>
      <c r="R39" s="8">
        <f t="shared" ca="1" si="1"/>
        <v>0</v>
      </c>
    </row>
    <row r="40" spans="1:18" ht="17.25">
      <c r="A40" s="41" t="s">
        <v>13</v>
      </c>
      <c r="B40" s="80"/>
      <c r="C40" s="73">
        <v>20</v>
      </c>
      <c r="D40" s="253" t="s">
        <v>52</v>
      </c>
      <c r="E40" s="254"/>
      <c r="F40" s="254"/>
      <c r="G40" s="254"/>
      <c r="H40" s="78"/>
      <c r="I40" s="81"/>
      <c r="J40" s="74"/>
      <c r="K40" s="76">
        <f>SUMIF(H40,B$9,E$9)</f>
        <v>0</v>
      </c>
      <c r="L40" s="80"/>
      <c r="M40" s="194"/>
      <c r="N40" s="194"/>
      <c r="O40" s="194"/>
      <c r="P40" s="194"/>
      <c r="Q40" s="194"/>
      <c r="R40" s="8">
        <f t="shared" ca="1" si="1"/>
        <v>0</v>
      </c>
    </row>
    <row r="41" spans="1:18" ht="17.25">
      <c r="A41" s="41" t="s">
        <v>13</v>
      </c>
      <c r="B41" s="51"/>
      <c r="C41" s="73">
        <v>21</v>
      </c>
      <c r="D41" s="256" t="s">
        <v>190</v>
      </c>
      <c r="E41" s="255"/>
      <c r="F41" s="255"/>
      <c r="G41" s="255"/>
      <c r="H41" s="55"/>
      <c r="I41" s="42"/>
      <c r="J41" s="53"/>
      <c r="K41" s="43">
        <f t="shared" ref="K41:K42" si="3">SUMIF(H41,B$9,E$9)</f>
        <v>0</v>
      </c>
      <c r="L41" s="51"/>
      <c r="M41" s="9"/>
      <c r="N41" s="9"/>
      <c r="O41" s="9"/>
      <c r="P41" s="9"/>
      <c r="Q41" s="9"/>
      <c r="R41" s="8">
        <f t="shared" ca="1" si="1"/>
        <v>0</v>
      </c>
    </row>
    <row r="42" spans="1:18" ht="33">
      <c r="A42" s="41" t="s">
        <v>12</v>
      </c>
      <c r="B42" s="80"/>
      <c r="C42" s="73">
        <v>22</v>
      </c>
      <c r="D42" s="253" t="s">
        <v>191</v>
      </c>
      <c r="E42" s="254"/>
      <c r="F42" s="254"/>
      <c r="G42" s="254"/>
      <c r="H42" s="78"/>
      <c r="I42" s="81"/>
      <c r="J42" s="74"/>
      <c r="K42" s="76">
        <f t="shared" si="3"/>
        <v>0</v>
      </c>
      <c r="L42" s="80"/>
      <c r="M42" s="194"/>
      <c r="N42" s="194"/>
      <c r="O42" s="194"/>
      <c r="P42" s="194"/>
      <c r="Q42" s="194"/>
      <c r="R42" s="8">
        <f t="shared" ca="1" si="1"/>
        <v>0</v>
      </c>
    </row>
    <row r="43" spans="1:18" ht="15.75">
      <c r="A43" s="41"/>
      <c r="B43" s="56" t="s">
        <v>71</v>
      </c>
      <c r="C43" s="58"/>
      <c r="D43" s="9"/>
      <c r="E43" s="9"/>
      <c r="F43" s="9"/>
      <c r="G43" s="9"/>
      <c r="H43" s="55"/>
      <c r="I43" s="42"/>
      <c r="J43" s="53"/>
      <c r="K43" s="43">
        <f t="shared" ref="K43:K58" si="4">SUMIF(H43,B$9,E$9)</f>
        <v>0</v>
      </c>
      <c r="L43" s="51"/>
      <c r="M43" s="9"/>
      <c r="N43" s="9"/>
      <c r="O43" s="9"/>
      <c r="P43" s="9"/>
      <c r="Q43" s="9"/>
      <c r="R43" s="8">
        <f t="shared" ca="1" si="1"/>
        <v>0</v>
      </c>
    </row>
    <row r="44" spans="1:18" ht="33">
      <c r="A44" s="41" t="s">
        <v>12</v>
      </c>
      <c r="B44" s="51"/>
      <c r="C44" s="58">
        <v>23</v>
      </c>
      <c r="D44" s="256" t="s">
        <v>53</v>
      </c>
      <c r="E44" s="255"/>
      <c r="F44" s="255"/>
      <c r="G44" s="255"/>
      <c r="H44" s="55"/>
      <c r="I44" s="42"/>
      <c r="J44" s="53"/>
      <c r="K44" s="43">
        <f t="shared" si="4"/>
        <v>0</v>
      </c>
      <c r="L44" s="51"/>
      <c r="M44" s="9" t="s">
        <v>6</v>
      </c>
      <c r="N44" s="9"/>
      <c r="O44" s="9"/>
      <c r="P44" s="9"/>
      <c r="Q44" s="9"/>
      <c r="R44" s="8">
        <f t="shared" ca="1" si="1"/>
        <v>0</v>
      </c>
    </row>
    <row r="45" spans="1:18" ht="64.5">
      <c r="A45" s="41" t="s">
        <v>28</v>
      </c>
      <c r="B45" s="80"/>
      <c r="C45" s="73">
        <v>24</v>
      </c>
      <c r="D45" s="253" t="s">
        <v>39</v>
      </c>
      <c r="E45" s="254"/>
      <c r="F45" s="254"/>
      <c r="G45" s="254"/>
      <c r="H45" s="78"/>
      <c r="I45" s="81"/>
      <c r="J45" s="74"/>
      <c r="K45" s="76">
        <f t="shared" si="4"/>
        <v>0</v>
      </c>
      <c r="L45" s="80"/>
      <c r="M45" s="194"/>
      <c r="N45" s="194"/>
      <c r="O45" s="194"/>
      <c r="P45" s="194"/>
      <c r="Q45" s="194"/>
      <c r="R45" s="8">
        <f t="shared" ca="1" si="1"/>
        <v>0</v>
      </c>
    </row>
    <row r="46" spans="1:18" ht="33">
      <c r="A46" s="41" t="s">
        <v>12</v>
      </c>
      <c r="B46" s="51"/>
      <c r="C46" s="73">
        <v>25</v>
      </c>
      <c r="D46" s="256" t="s">
        <v>284</v>
      </c>
      <c r="E46" s="255"/>
      <c r="F46" s="255"/>
      <c r="G46" s="255"/>
      <c r="H46" s="55"/>
      <c r="I46" s="42"/>
      <c r="J46" s="53"/>
      <c r="K46" s="43">
        <f t="shared" si="4"/>
        <v>0</v>
      </c>
      <c r="L46" s="51"/>
      <c r="M46" s="9"/>
      <c r="N46" s="9"/>
      <c r="O46" s="9"/>
      <c r="P46" s="9"/>
      <c r="Q46" s="9"/>
      <c r="R46" s="8">
        <f t="shared" ca="1" si="1"/>
        <v>0</v>
      </c>
    </row>
    <row r="47" spans="1:18" ht="15.75">
      <c r="A47" s="41"/>
      <c r="B47" s="56" t="s">
        <v>72</v>
      </c>
      <c r="C47" s="58"/>
      <c r="D47" s="9"/>
      <c r="E47" s="9"/>
      <c r="F47" s="9"/>
      <c r="G47" s="9"/>
      <c r="H47" s="55"/>
      <c r="I47" s="42"/>
      <c r="J47" s="53"/>
      <c r="K47" s="43">
        <f t="shared" si="4"/>
        <v>0</v>
      </c>
      <c r="L47" s="51"/>
      <c r="M47" s="9"/>
      <c r="N47" s="9"/>
      <c r="O47" s="9"/>
      <c r="P47" s="9"/>
      <c r="Q47" s="9"/>
      <c r="R47" s="8">
        <f t="shared" ca="1" si="1"/>
        <v>0</v>
      </c>
    </row>
    <row r="48" spans="1:18" ht="48.75">
      <c r="A48" s="45" t="s">
        <v>14</v>
      </c>
      <c r="B48" s="80"/>
      <c r="C48" s="73">
        <v>26</v>
      </c>
      <c r="D48" s="253" t="s">
        <v>54</v>
      </c>
      <c r="E48" s="254"/>
      <c r="F48" s="254"/>
      <c r="G48" s="254"/>
      <c r="H48" s="78"/>
      <c r="I48" s="81"/>
      <c r="J48" s="74"/>
      <c r="K48" s="76">
        <f t="shared" si="4"/>
        <v>0</v>
      </c>
      <c r="L48" s="80"/>
      <c r="M48" s="194"/>
      <c r="N48" s="194"/>
      <c r="O48" s="194"/>
      <c r="P48" s="194"/>
      <c r="Q48" s="194"/>
      <c r="R48" s="8">
        <f t="shared" ca="1" si="1"/>
        <v>0</v>
      </c>
    </row>
    <row r="49" spans="1:18" ht="33">
      <c r="A49" s="41" t="s">
        <v>12</v>
      </c>
      <c r="B49" s="51"/>
      <c r="C49" s="58">
        <v>27</v>
      </c>
      <c r="D49" s="256" t="s">
        <v>55</v>
      </c>
      <c r="E49" s="255"/>
      <c r="F49" s="255"/>
      <c r="G49" s="255"/>
      <c r="H49" s="55"/>
      <c r="I49" s="42"/>
      <c r="J49" s="53"/>
      <c r="K49" s="43">
        <f t="shared" si="4"/>
        <v>0</v>
      </c>
      <c r="L49" s="51"/>
      <c r="M49" s="9"/>
      <c r="N49" s="9"/>
      <c r="O49" s="9"/>
      <c r="P49" s="9"/>
      <c r="Q49" s="9"/>
      <c r="R49" s="8">
        <f t="shared" ca="1" si="1"/>
        <v>0</v>
      </c>
    </row>
    <row r="50" spans="1:18" ht="17.25">
      <c r="A50" s="41" t="s">
        <v>13</v>
      </c>
      <c r="B50" s="80"/>
      <c r="C50" s="58">
        <v>28</v>
      </c>
      <c r="D50" s="253" t="s">
        <v>56</v>
      </c>
      <c r="E50" s="254"/>
      <c r="F50" s="254"/>
      <c r="G50" s="254"/>
      <c r="H50" s="78"/>
      <c r="I50" s="81"/>
      <c r="J50" s="74"/>
      <c r="K50" s="76">
        <f t="shared" si="4"/>
        <v>0</v>
      </c>
      <c r="L50" s="80"/>
      <c r="M50" s="194"/>
      <c r="N50" s="194"/>
      <c r="O50" s="194"/>
      <c r="P50" s="194"/>
      <c r="Q50" s="194"/>
      <c r="R50" s="8">
        <f t="shared" ca="1" si="1"/>
        <v>0</v>
      </c>
    </row>
    <row r="51" spans="1:18" ht="17.25">
      <c r="A51" s="41" t="s">
        <v>13</v>
      </c>
      <c r="B51" s="51"/>
      <c r="C51" s="58">
        <v>29</v>
      </c>
      <c r="D51" s="256" t="s">
        <v>57</v>
      </c>
      <c r="E51" s="255"/>
      <c r="F51" s="255"/>
      <c r="G51" s="255"/>
      <c r="H51" s="55"/>
      <c r="I51" s="42"/>
      <c r="J51" s="53"/>
      <c r="K51" s="43">
        <f t="shared" si="4"/>
        <v>0</v>
      </c>
      <c r="L51" s="51"/>
      <c r="M51" s="9"/>
      <c r="N51" s="9"/>
      <c r="O51" s="9"/>
      <c r="P51" s="9"/>
      <c r="Q51" s="9"/>
      <c r="R51" s="8">
        <f t="shared" ca="1" si="1"/>
        <v>0</v>
      </c>
    </row>
    <row r="52" spans="1:18" ht="15.75">
      <c r="A52" s="41"/>
      <c r="B52" s="80"/>
      <c r="C52" s="58">
        <v>30</v>
      </c>
      <c r="D52" s="253" t="s">
        <v>58</v>
      </c>
      <c r="E52" s="254"/>
      <c r="F52" s="254"/>
      <c r="G52" s="254"/>
      <c r="H52" s="78"/>
      <c r="I52" s="81"/>
      <c r="J52" s="74"/>
      <c r="K52" s="76">
        <f t="shared" si="4"/>
        <v>0</v>
      </c>
      <c r="L52" s="80"/>
      <c r="M52" s="194"/>
      <c r="N52" s="194"/>
      <c r="O52" s="194"/>
      <c r="P52" s="194"/>
      <c r="Q52" s="194"/>
      <c r="R52" s="8">
        <f t="shared" ca="1" si="1"/>
        <v>0</v>
      </c>
    </row>
    <row r="53" spans="1:18" ht="15.75">
      <c r="A53" s="41"/>
      <c r="B53" s="51"/>
      <c r="C53" s="58">
        <v>31</v>
      </c>
      <c r="D53" s="256" t="s">
        <v>59</v>
      </c>
      <c r="E53" s="255"/>
      <c r="F53" s="255"/>
      <c r="G53" s="255"/>
      <c r="H53" s="55"/>
      <c r="I53" s="42"/>
      <c r="J53" s="53"/>
      <c r="K53" s="43">
        <f t="shared" si="4"/>
        <v>0</v>
      </c>
      <c r="L53" s="51"/>
      <c r="M53" s="9"/>
      <c r="N53" s="9"/>
      <c r="O53" s="9"/>
      <c r="P53" s="9"/>
      <c r="Q53" s="9"/>
      <c r="R53" s="8">
        <f t="shared" ca="1" si="1"/>
        <v>0</v>
      </c>
    </row>
    <row r="54" spans="1:18" ht="15.75">
      <c r="A54" s="41"/>
      <c r="B54" s="56" t="s">
        <v>73</v>
      </c>
      <c r="C54" s="58"/>
      <c r="D54" s="9"/>
      <c r="E54" s="9"/>
      <c r="F54" s="9"/>
      <c r="G54" s="9"/>
      <c r="H54" s="55"/>
      <c r="I54" s="42"/>
      <c r="J54" s="53"/>
      <c r="K54" s="43">
        <f t="shared" si="4"/>
        <v>0</v>
      </c>
      <c r="L54" s="51"/>
      <c r="M54" s="9"/>
      <c r="N54" s="9"/>
      <c r="O54" s="9"/>
      <c r="P54" s="9"/>
      <c r="Q54" s="9"/>
      <c r="R54" s="8">
        <f t="shared" ca="1" si="1"/>
        <v>0</v>
      </c>
    </row>
    <row r="55" spans="1:18" ht="33">
      <c r="A55" s="41" t="s">
        <v>12</v>
      </c>
      <c r="B55" s="80"/>
      <c r="C55" s="73">
        <v>32</v>
      </c>
      <c r="D55" s="253" t="s">
        <v>218</v>
      </c>
      <c r="E55" s="254"/>
      <c r="F55" s="254"/>
      <c r="G55" s="254"/>
      <c r="H55" s="78"/>
      <c r="I55" s="81"/>
      <c r="J55" s="74"/>
      <c r="K55" s="76">
        <f t="shared" si="4"/>
        <v>0</v>
      </c>
      <c r="L55" s="80"/>
      <c r="M55" s="194"/>
      <c r="N55" s="194"/>
      <c r="O55" s="194"/>
      <c r="P55" s="194"/>
      <c r="Q55" s="194"/>
      <c r="R55" s="8">
        <f t="shared" ca="1" si="1"/>
        <v>0</v>
      </c>
    </row>
    <row r="56" spans="1:18" ht="33">
      <c r="A56" s="41" t="s">
        <v>12</v>
      </c>
      <c r="B56" s="51"/>
      <c r="C56" s="58">
        <v>33</v>
      </c>
      <c r="D56" s="256" t="s">
        <v>60</v>
      </c>
      <c r="E56" s="255"/>
      <c r="F56" s="255"/>
      <c r="G56" s="255"/>
      <c r="H56" s="55"/>
      <c r="I56" s="42"/>
      <c r="J56" s="53"/>
      <c r="K56" s="43">
        <f t="shared" si="4"/>
        <v>0</v>
      </c>
      <c r="L56" s="51"/>
      <c r="M56" s="9"/>
      <c r="N56" s="9"/>
      <c r="O56" s="9"/>
      <c r="P56" s="9"/>
      <c r="Q56" s="9"/>
      <c r="R56" s="8">
        <f t="shared" ca="1" si="1"/>
        <v>0</v>
      </c>
    </row>
    <row r="57" spans="1:18" ht="17.25">
      <c r="A57" s="41" t="s">
        <v>13</v>
      </c>
      <c r="B57" s="80"/>
      <c r="C57" s="58">
        <v>34</v>
      </c>
      <c r="D57" s="253" t="s">
        <v>61</v>
      </c>
      <c r="E57" s="254"/>
      <c r="F57" s="254"/>
      <c r="G57" s="254"/>
      <c r="H57" s="78"/>
      <c r="I57" s="81"/>
      <c r="J57" s="74"/>
      <c r="K57" s="76">
        <f t="shared" si="4"/>
        <v>0</v>
      </c>
      <c r="L57" s="80"/>
      <c r="M57" s="194"/>
      <c r="N57" s="194"/>
      <c r="O57" s="194"/>
      <c r="P57" s="194"/>
      <c r="Q57" s="194"/>
      <c r="R57" s="8">
        <f t="shared" ca="1" si="1"/>
        <v>0</v>
      </c>
    </row>
    <row r="58" spans="1:18" ht="33">
      <c r="A58" s="41" t="s">
        <v>12</v>
      </c>
      <c r="B58" s="51"/>
      <c r="C58" s="58">
        <v>35</v>
      </c>
      <c r="D58" s="256" t="s">
        <v>278</v>
      </c>
      <c r="E58" s="255"/>
      <c r="F58" s="255"/>
      <c r="G58" s="255"/>
      <c r="H58" s="55"/>
      <c r="I58" s="42"/>
      <c r="J58" s="53"/>
      <c r="K58" s="43">
        <f t="shared" si="4"/>
        <v>0</v>
      </c>
      <c r="L58" s="51"/>
      <c r="M58" s="9"/>
      <c r="N58" s="9"/>
      <c r="O58" s="9"/>
      <c r="P58" s="9"/>
      <c r="Q58" s="9"/>
      <c r="R58" s="8">
        <f t="shared" ca="1" si="1"/>
        <v>0</v>
      </c>
    </row>
    <row r="59" spans="1:18" ht="33">
      <c r="A59" s="41" t="s">
        <v>12</v>
      </c>
      <c r="B59" s="80"/>
      <c r="C59" s="58">
        <v>36</v>
      </c>
      <c r="D59" s="253" t="s">
        <v>219</v>
      </c>
      <c r="E59" s="254"/>
      <c r="F59" s="254"/>
      <c r="G59" s="254"/>
      <c r="H59" s="78"/>
      <c r="I59" s="81"/>
      <c r="J59" s="74"/>
      <c r="K59" s="76">
        <f t="shared" ref="K59:K61" si="5">SUMIF(H59,B$9,E$9)</f>
        <v>0</v>
      </c>
      <c r="L59" s="80"/>
      <c r="M59" s="194"/>
      <c r="N59" s="194"/>
      <c r="O59" s="194"/>
      <c r="P59" s="194"/>
      <c r="Q59" s="194"/>
      <c r="R59" s="8">
        <f t="shared" ca="1" si="1"/>
        <v>0</v>
      </c>
    </row>
    <row r="60" spans="1:18" ht="33">
      <c r="A60" s="41" t="s">
        <v>12</v>
      </c>
      <c r="B60" s="51"/>
      <c r="C60" s="58">
        <v>37</v>
      </c>
      <c r="D60" s="256" t="s">
        <v>192</v>
      </c>
      <c r="E60" s="255"/>
      <c r="F60" s="255"/>
      <c r="G60" s="255"/>
      <c r="H60" s="55"/>
      <c r="I60" s="42"/>
      <c r="J60" s="53"/>
      <c r="K60" s="43">
        <f t="shared" si="5"/>
        <v>0</v>
      </c>
      <c r="L60" s="51"/>
      <c r="M60" s="9"/>
      <c r="N60" s="9"/>
      <c r="O60" s="9"/>
      <c r="P60" s="9"/>
      <c r="Q60" s="9"/>
      <c r="R60" s="8">
        <f t="shared" ca="1" si="1"/>
        <v>0</v>
      </c>
    </row>
    <row r="61" spans="1:18" ht="33">
      <c r="A61" s="41" t="s">
        <v>12</v>
      </c>
      <c r="B61" s="80"/>
      <c r="C61" s="58">
        <v>38</v>
      </c>
      <c r="D61" s="253" t="s">
        <v>220</v>
      </c>
      <c r="E61" s="254"/>
      <c r="F61" s="254"/>
      <c r="G61" s="254"/>
      <c r="H61" s="78"/>
      <c r="I61" s="81"/>
      <c r="J61" s="74"/>
      <c r="K61" s="76">
        <f t="shared" si="5"/>
        <v>0</v>
      </c>
      <c r="L61" s="80"/>
      <c r="M61" s="194"/>
      <c r="N61" s="194"/>
      <c r="O61" s="194"/>
      <c r="P61" s="194"/>
      <c r="Q61" s="194"/>
      <c r="R61" s="8">
        <f t="shared" ca="1" si="1"/>
        <v>0</v>
      </c>
    </row>
    <row r="62" spans="1:18" ht="17.25">
      <c r="A62" s="41" t="s">
        <v>13</v>
      </c>
      <c r="B62" s="80"/>
      <c r="C62" s="58">
        <v>39</v>
      </c>
      <c r="D62" s="253" t="s">
        <v>193</v>
      </c>
      <c r="E62" s="254"/>
      <c r="F62" s="254"/>
      <c r="G62" s="254"/>
      <c r="H62" s="78"/>
      <c r="I62" s="81"/>
      <c r="J62" s="74"/>
      <c r="K62" s="76">
        <f t="shared" ref="K62:K64" si="6">SUMIF(H62,B$9,E$9)</f>
        <v>0</v>
      </c>
      <c r="L62" s="80"/>
      <c r="M62" s="194"/>
      <c r="N62" s="194"/>
      <c r="O62" s="194"/>
      <c r="P62" s="194"/>
      <c r="Q62" s="194"/>
      <c r="R62" s="8">
        <f t="shared" ca="1" si="1"/>
        <v>0</v>
      </c>
    </row>
    <row r="63" spans="1:18" ht="33">
      <c r="A63" s="41" t="s">
        <v>12</v>
      </c>
      <c r="B63" s="80"/>
      <c r="C63" s="58">
        <v>40</v>
      </c>
      <c r="D63" s="253" t="s">
        <v>221</v>
      </c>
      <c r="E63" s="254"/>
      <c r="F63" s="254"/>
      <c r="G63" s="254"/>
      <c r="H63" s="78"/>
      <c r="I63" s="81"/>
      <c r="J63" s="74"/>
      <c r="K63" s="76">
        <f t="shared" si="6"/>
        <v>0</v>
      </c>
      <c r="L63" s="80"/>
      <c r="M63" s="194"/>
      <c r="N63" s="194"/>
      <c r="O63" s="194"/>
      <c r="P63" s="194"/>
      <c r="Q63" s="194"/>
      <c r="R63" s="8">
        <f t="shared" ca="1" si="1"/>
        <v>0</v>
      </c>
    </row>
    <row r="64" spans="1:18" ht="17.25">
      <c r="A64" s="41" t="s">
        <v>13</v>
      </c>
      <c r="B64" s="80"/>
      <c r="C64" s="58">
        <v>41</v>
      </c>
      <c r="D64" s="253" t="s">
        <v>194</v>
      </c>
      <c r="E64" s="254"/>
      <c r="F64" s="254"/>
      <c r="G64" s="254"/>
      <c r="H64" s="78"/>
      <c r="I64" s="81"/>
      <c r="J64" s="74"/>
      <c r="K64" s="76">
        <f t="shared" si="6"/>
        <v>0</v>
      </c>
      <c r="L64" s="80"/>
      <c r="M64" s="194"/>
      <c r="N64" s="194"/>
      <c r="O64" s="194"/>
      <c r="P64" s="194"/>
      <c r="Q64" s="194"/>
      <c r="R64" s="8">
        <f t="shared" ca="1" si="1"/>
        <v>0</v>
      </c>
    </row>
    <row r="65" spans="1:18" ht="15.75">
      <c r="A65" s="41"/>
      <c r="B65" s="56" t="s">
        <v>74</v>
      </c>
      <c r="C65" s="58"/>
      <c r="D65" s="9"/>
      <c r="E65" s="9"/>
      <c r="F65" s="9"/>
      <c r="G65" s="9"/>
      <c r="H65" s="55"/>
      <c r="I65" s="42"/>
      <c r="J65" s="53"/>
      <c r="K65" s="43">
        <f t="shared" ref="K65:K75" si="7">SUMIF(H65,B$9,E$9)</f>
        <v>0</v>
      </c>
      <c r="L65" s="51"/>
      <c r="M65" s="9"/>
      <c r="N65" s="9"/>
      <c r="O65" s="9"/>
      <c r="P65" s="9"/>
      <c r="Q65" s="9"/>
      <c r="R65" s="8">
        <f t="shared" ca="1" si="1"/>
        <v>0</v>
      </c>
    </row>
    <row r="66" spans="1:18" ht="15.75" customHeight="1">
      <c r="A66" s="41"/>
      <c r="B66" s="82"/>
      <c r="C66" s="73">
        <v>42</v>
      </c>
      <c r="D66" s="253" t="s">
        <v>222</v>
      </c>
      <c r="E66" s="254"/>
      <c r="F66" s="254"/>
      <c r="G66" s="254"/>
      <c r="H66" s="78"/>
      <c r="I66" s="83"/>
      <c r="J66" s="74"/>
      <c r="K66" s="76">
        <f t="shared" si="7"/>
        <v>0</v>
      </c>
      <c r="L66" s="80"/>
      <c r="M66" s="194"/>
      <c r="N66" s="194"/>
      <c r="O66" s="194"/>
      <c r="P66" s="194"/>
      <c r="Q66" s="194"/>
      <c r="R66" s="8">
        <f t="shared" ca="1" si="1"/>
        <v>0</v>
      </c>
    </row>
    <row r="67" spans="1:18" ht="15.75" customHeight="1">
      <c r="A67" s="41"/>
      <c r="B67" s="86"/>
      <c r="C67" s="87">
        <v>43</v>
      </c>
      <c r="D67" s="256" t="s">
        <v>223</v>
      </c>
      <c r="E67" s="255"/>
      <c r="F67" s="255"/>
      <c r="G67" s="255"/>
      <c r="H67" s="88"/>
      <c r="I67" s="89"/>
      <c r="J67" s="90"/>
      <c r="K67" s="91">
        <f t="shared" si="7"/>
        <v>0</v>
      </c>
      <c r="L67" s="92"/>
      <c r="M67" s="195"/>
      <c r="N67" s="195"/>
      <c r="O67" s="195"/>
      <c r="P67" s="195"/>
      <c r="Q67" s="195"/>
      <c r="R67" s="8">
        <f t="shared" ca="1" si="1"/>
        <v>0</v>
      </c>
    </row>
    <row r="68" spans="1:18" ht="15.75">
      <c r="A68" s="41"/>
      <c r="B68" s="84"/>
      <c r="C68" s="87">
        <v>44</v>
      </c>
      <c r="D68" s="253" t="s">
        <v>40</v>
      </c>
      <c r="E68" s="254"/>
      <c r="F68" s="254"/>
      <c r="G68" s="254"/>
      <c r="H68" s="78"/>
      <c r="I68" s="85"/>
      <c r="J68" s="74"/>
      <c r="K68" s="76">
        <f t="shared" si="7"/>
        <v>0</v>
      </c>
      <c r="L68" s="80"/>
      <c r="M68" s="194"/>
      <c r="N68" s="194"/>
      <c r="O68" s="194"/>
      <c r="P68" s="194"/>
      <c r="Q68" s="194"/>
      <c r="R68" s="8">
        <f t="shared" ca="1" si="1"/>
        <v>0</v>
      </c>
    </row>
    <row r="69" spans="1:18" ht="33">
      <c r="A69" s="41" t="s">
        <v>12</v>
      </c>
      <c r="B69" s="57"/>
      <c r="C69" s="87">
        <v>45</v>
      </c>
      <c r="D69" s="256" t="s">
        <v>41</v>
      </c>
      <c r="E69" s="255"/>
      <c r="F69" s="255"/>
      <c r="G69" s="255"/>
      <c r="H69" s="55"/>
      <c r="I69" s="46"/>
      <c r="J69" s="53"/>
      <c r="K69" s="43">
        <f t="shared" si="7"/>
        <v>0</v>
      </c>
      <c r="L69" s="51"/>
      <c r="M69" s="9"/>
      <c r="N69" s="9"/>
      <c r="O69" s="9"/>
      <c r="P69" s="9"/>
      <c r="Q69" s="9"/>
      <c r="R69" s="8">
        <f t="shared" ca="1" si="1"/>
        <v>0</v>
      </c>
    </row>
    <row r="70" spans="1:18" ht="15.75">
      <c r="A70" s="41"/>
      <c r="B70" s="93"/>
      <c r="C70" s="87">
        <v>46</v>
      </c>
      <c r="D70" s="253" t="s">
        <v>42</v>
      </c>
      <c r="E70" s="254"/>
      <c r="F70" s="254"/>
      <c r="G70" s="254"/>
      <c r="H70" s="78"/>
      <c r="I70" s="85"/>
      <c r="J70" s="74"/>
      <c r="K70" s="76">
        <f t="shared" si="7"/>
        <v>0</v>
      </c>
      <c r="L70" s="80"/>
      <c r="M70" s="194"/>
      <c r="N70" s="194"/>
      <c r="O70" s="194"/>
      <c r="P70" s="194"/>
      <c r="Q70" s="194"/>
      <c r="R70" s="8">
        <f t="shared" ca="1" si="1"/>
        <v>0</v>
      </c>
    </row>
    <row r="71" spans="1:18" ht="15.75">
      <c r="A71" s="41"/>
      <c r="B71" s="51"/>
      <c r="C71" s="87">
        <v>47</v>
      </c>
      <c r="D71" s="255" t="s">
        <v>37</v>
      </c>
      <c r="E71" s="255"/>
      <c r="F71" s="255"/>
      <c r="G71" s="255"/>
      <c r="H71" s="55"/>
      <c r="I71" s="46"/>
      <c r="J71" s="53"/>
      <c r="K71" s="43">
        <f t="shared" si="7"/>
        <v>0</v>
      </c>
      <c r="L71" s="51"/>
      <c r="M71" s="9"/>
      <c r="N71" s="9"/>
      <c r="O71" s="9"/>
      <c r="P71" s="9"/>
      <c r="Q71" s="9"/>
      <c r="R71" s="8">
        <f t="shared" ca="1" si="1"/>
        <v>0</v>
      </c>
    </row>
    <row r="72" spans="1:18" ht="15.75">
      <c r="A72" s="41"/>
      <c r="B72" s="80"/>
      <c r="C72" s="87">
        <v>48</v>
      </c>
      <c r="D72" s="253" t="s">
        <v>67</v>
      </c>
      <c r="E72" s="254"/>
      <c r="F72" s="254"/>
      <c r="G72" s="254"/>
      <c r="H72" s="78"/>
      <c r="I72" s="85"/>
      <c r="J72" s="74"/>
      <c r="K72" s="76">
        <f t="shared" si="7"/>
        <v>0</v>
      </c>
      <c r="L72" s="80"/>
      <c r="M72" s="194"/>
      <c r="N72" s="194"/>
      <c r="O72" s="194"/>
      <c r="P72" s="194"/>
      <c r="Q72" s="194"/>
      <c r="R72" s="8">
        <f t="shared" ca="1" si="1"/>
        <v>0</v>
      </c>
    </row>
    <row r="73" spans="1:18" ht="15.75">
      <c r="A73" s="41"/>
      <c r="B73" s="51"/>
      <c r="C73" s="87">
        <v>49</v>
      </c>
      <c r="D73" s="255" t="s">
        <v>224</v>
      </c>
      <c r="E73" s="255"/>
      <c r="F73" s="255"/>
      <c r="G73" s="255"/>
      <c r="H73" s="55"/>
      <c r="I73" s="46"/>
      <c r="J73" s="53"/>
      <c r="K73" s="43">
        <f t="shared" si="7"/>
        <v>0</v>
      </c>
      <c r="L73" s="51"/>
      <c r="M73" s="9"/>
      <c r="N73" s="9"/>
      <c r="O73" s="9"/>
      <c r="P73" s="9"/>
      <c r="Q73" s="9"/>
      <c r="R73" s="8">
        <f t="shared" ca="1" si="1"/>
        <v>0</v>
      </c>
    </row>
    <row r="74" spans="1:18" ht="33">
      <c r="A74" s="41" t="s">
        <v>12</v>
      </c>
      <c r="B74" s="80"/>
      <c r="C74" s="87">
        <v>50</v>
      </c>
      <c r="D74" s="254" t="s">
        <v>38</v>
      </c>
      <c r="E74" s="254"/>
      <c r="F74" s="254"/>
      <c r="G74" s="254"/>
      <c r="H74" s="78"/>
      <c r="I74" s="85"/>
      <c r="J74" s="74"/>
      <c r="K74" s="76">
        <f t="shared" si="7"/>
        <v>0</v>
      </c>
      <c r="L74" s="80"/>
      <c r="M74" s="194"/>
      <c r="N74" s="194"/>
      <c r="O74" s="194"/>
      <c r="P74" s="194"/>
      <c r="Q74" s="194"/>
      <c r="R74" s="8">
        <f t="shared" ca="1" si="1"/>
        <v>0</v>
      </c>
    </row>
    <row r="75" spans="1:18" ht="33">
      <c r="A75" s="41" t="s">
        <v>12</v>
      </c>
      <c r="B75" s="51"/>
      <c r="C75" s="87">
        <v>51</v>
      </c>
      <c r="D75" s="256" t="s">
        <v>62</v>
      </c>
      <c r="E75" s="255"/>
      <c r="F75" s="255"/>
      <c r="G75" s="255"/>
      <c r="H75" s="55"/>
      <c r="I75" s="46"/>
      <c r="J75" s="53"/>
      <c r="K75" s="76">
        <f t="shared" si="7"/>
        <v>0</v>
      </c>
      <c r="L75" s="51"/>
      <c r="M75" s="9"/>
      <c r="N75" s="9"/>
      <c r="O75" s="9"/>
      <c r="P75" s="9"/>
      <c r="Q75" s="9"/>
      <c r="R75" s="8">
        <f t="shared" ca="1" si="1"/>
        <v>0</v>
      </c>
    </row>
    <row r="76" spans="1:18" ht="15.75">
      <c r="A76" s="41"/>
      <c r="B76" s="56"/>
      <c r="C76" s="58"/>
      <c r="D76" s="158" t="s">
        <v>195</v>
      </c>
      <c r="E76" s="153"/>
      <c r="F76" s="153"/>
      <c r="G76" s="153"/>
      <c r="H76" s="55"/>
      <c r="I76" s="46"/>
      <c r="J76" s="53"/>
      <c r="K76" s="76"/>
      <c r="L76" s="51"/>
      <c r="M76" s="9"/>
      <c r="N76" s="9"/>
      <c r="O76" s="9"/>
      <c r="P76" s="9"/>
      <c r="Q76" s="9"/>
      <c r="R76" s="8">
        <f t="shared" ca="1" si="1"/>
        <v>0</v>
      </c>
    </row>
    <row r="77" spans="1:18" ht="48.75" customHeight="1">
      <c r="A77" s="41" t="s">
        <v>14</v>
      </c>
      <c r="B77" s="56"/>
      <c r="C77" s="73">
        <v>52</v>
      </c>
      <c r="D77" s="257" t="s">
        <v>196</v>
      </c>
      <c r="E77" s="253"/>
      <c r="F77" s="253"/>
      <c r="G77" s="258"/>
      <c r="H77" s="78"/>
      <c r="I77" s="83"/>
      <c r="J77" s="74"/>
      <c r="K77" s="76">
        <f t="shared" ref="K77:K86" si="8">SUMIF(H77,B$9,E$9)</f>
        <v>0</v>
      </c>
      <c r="L77" s="80"/>
      <c r="M77" s="194"/>
      <c r="N77" s="194"/>
      <c r="O77" s="194"/>
      <c r="P77" s="194"/>
      <c r="Q77" s="194"/>
      <c r="R77" s="8">
        <f t="shared" ca="1" si="1"/>
        <v>0</v>
      </c>
    </row>
    <row r="78" spans="1:18" ht="33">
      <c r="A78" s="41" t="s">
        <v>12</v>
      </c>
      <c r="B78" s="86"/>
      <c r="C78" s="87">
        <v>53</v>
      </c>
      <c r="D78" s="256" t="s">
        <v>225</v>
      </c>
      <c r="E78" s="255"/>
      <c r="F78" s="255"/>
      <c r="G78" s="255"/>
      <c r="H78" s="88"/>
      <c r="I78" s="89"/>
      <c r="J78" s="90"/>
      <c r="K78" s="91">
        <f t="shared" si="8"/>
        <v>0</v>
      </c>
      <c r="L78" s="92"/>
      <c r="M78" s="195"/>
      <c r="N78" s="195"/>
      <c r="O78" s="195"/>
      <c r="P78" s="195"/>
      <c r="Q78" s="195"/>
      <c r="R78" s="8">
        <f t="shared" ca="1" si="1"/>
        <v>0</v>
      </c>
    </row>
    <row r="79" spans="1:18" ht="15.75">
      <c r="A79" s="41"/>
      <c r="B79" s="84"/>
      <c r="C79" s="87">
        <v>54</v>
      </c>
      <c r="D79" s="253" t="s">
        <v>197</v>
      </c>
      <c r="E79" s="254"/>
      <c r="F79" s="254"/>
      <c r="G79" s="254"/>
      <c r="H79" s="78"/>
      <c r="I79" s="85"/>
      <c r="J79" s="74"/>
      <c r="K79" s="76">
        <f t="shared" si="8"/>
        <v>0</v>
      </c>
      <c r="L79" s="80"/>
      <c r="M79" s="194"/>
      <c r="N79" s="194"/>
      <c r="O79" s="194"/>
      <c r="P79" s="194"/>
      <c r="Q79" s="194"/>
      <c r="R79" s="8">
        <f t="shared" ca="1" si="1"/>
        <v>0</v>
      </c>
    </row>
    <row r="80" spans="1:18" ht="17.25">
      <c r="A80" s="41" t="s">
        <v>13</v>
      </c>
      <c r="B80" s="57"/>
      <c r="C80" s="58"/>
      <c r="D80" s="259" t="s">
        <v>198</v>
      </c>
      <c r="E80" s="260"/>
      <c r="F80" s="260"/>
      <c r="G80" s="260"/>
      <c r="H80" s="55"/>
      <c r="I80" s="46"/>
      <c r="J80" s="53"/>
      <c r="K80" s="43">
        <f t="shared" si="8"/>
        <v>0</v>
      </c>
      <c r="L80" s="51"/>
      <c r="M80" s="9"/>
      <c r="N80" s="9"/>
      <c r="O80" s="9"/>
      <c r="P80" s="9"/>
      <c r="Q80" s="9"/>
      <c r="R80" s="8">
        <f t="shared" ca="1" si="1"/>
        <v>0</v>
      </c>
    </row>
    <row r="81" spans="1:18" ht="33">
      <c r="A81" s="41" t="s">
        <v>12</v>
      </c>
      <c r="B81" s="93"/>
      <c r="C81" s="73">
        <v>55</v>
      </c>
      <c r="D81" s="253" t="s">
        <v>199</v>
      </c>
      <c r="E81" s="254"/>
      <c r="F81" s="254"/>
      <c r="G81" s="254"/>
      <c r="H81" s="78"/>
      <c r="I81" s="85"/>
      <c r="J81" s="74"/>
      <c r="K81" s="76">
        <f t="shared" si="8"/>
        <v>0</v>
      </c>
      <c r="L81" s="80"/>
      <c r="M81" s="194"/>
      <c r="N81" s="194"/>
      <c r="O81" s="194"/>
      <c r="P81" s="194"/>
      <c r="Q81" s="194"/>
      <c r="R81" s="8">
        <f t="shared" ref="R81:R106" ca="1" si="9">SUMIF(H81:H176,B$10,E$9)</f>
        <v>0</v>
      </c>
    </row>
    <row r="82" spans="1:18" ht="33">
      <c r="A82" s="41" t="s">
        <v>12</v>
      </c>
      <c r="B82" s="51"/>
      <c r="C82" s="58">
        <v>56</v>
      </c>
      <c r="D82" s="255" t="s">
        <v>279</v>
      </c>
      <c r="E82" s="255"/>
      <c r="F82" s="255"/>
      <c r="G82" s="255"/>
      <c r="H82" s="55"/>
      <c r="I82" s="46"/>
      <c r="J82" s="53"/>
      <c r="K82" s="43">
        <f t="shared" si="8"/>
        <v>0</v>
      </c>
      <c r="L82" s="51"/>
      <c r="M82" s="9"/>
      <c r="N82" s="9"/>
      <c r="O82" s="9"/>
      <c r="P82" s="9"/>
      <c r="Q82" s="9"/>
      <c r="R82" s="8">
        <f t="shared" ca="1" si="9"/>
        <v>0</v>
      </c>
    </row>
    <row r="83" spans="1:18" ht="15.75">
      <c r="A83" s="41"/>
      <c r="B83" s="80"/>
      <c r="C83" s="58">
        <v>57</v>
      </c>
      <c r="D83" s="253" t="s">
        <v>200</v>
      </c>
      <c r="E83" s="254"/>
      <c r="F83" s="254"/>
      <c r="G83" s="254"/>
      <c r="H83" s="78"/>
      <c r="I83" s="85"/>
      <c r="J83" s="74"/>
      <c r="K83" s="76">
        <f t="shared" si="8"/>
        <v>0</v>
      </c>
      <c r="L83" s="80"/>
      <c r="M83" s="194"/>
      <c r="N83" s="194"/>
      <c r="O83" s="194"/>
      <c r="P83" s="194"/>
      <c r="Q83" s="194"/>
      <c r="R83" s="8">
        <f t="shared" ca="1" si="9"/>
        <v>0</v>
      </c>
    </row>
    <row r="84" spans="1:18" ht="15.75">
      <c r="A84" s="41"/>
      <c r="B84" s="51"/>
      <c r="C84" s="58">
        <v>58</v>
      </c>
      <c r="D84" s="253" t="s">
        <v>201</v>
      </c>
      <c r="E84" s="254"/>
      <c r="F84" s="254"/>
      <c r="G84" s="254"/>
      <c r="H84" s="55"/>
      <c r="I84" s="46"/>
      <c r="J84" s="53"/>
      <c r="K84" s="43">
        <f t="shared" si="8"/>
        <v>0</v>
      </c>
      <c r="L84" s="51"/>
      <c r="M84" s="9"/>
      <c r="N84" s="9"/>
      <c r="O84" s="9"/>
      <c r="P84" s="9"/>
      <c r="Q84" s="9"/>
      <c r="R84" s="8">
        <f t="shared" ca="1" si="9"/>
        <v>0</v>
      </c>
    </row>
    <row r="85" spans="1:18" ht="15.75">
      <c r="A85" s="41"/>
      <c r="B85" s="80"/>
      <c r="C85" s="73"/>
      <c r="D85" s="252" t="s">
        <v>202</v>
      </c>
      <c r="E85" s="252"/>
      <c r="F85" s="252"/>
      <c r="G85" s="252"/>
      <c r="H85" s="78"/>
      <c r="I85" s="85"/>
      <c r="J85" s="74"/>
      <c r="K85" s="76">
        <f t="shared" si="8"/>
        <v>0</v>
      </c>
      <c r="L85" s="80"/>
      <c r="M85" s="194"/>
      <c r="N85" s="194"/>
      <c r="O85" s="194"/>
      <c r="P85" s="194"/>
      <c r="Q85" s="194"/>
      <c r="R85" s="8">
        <f t="shared" ca="1" si="9"/>
        <v>0</v>
      </c>
    </row>
    <row r="86" spans="1:18" ht="17.25">
      <c r="A86" s="41" t="s">
        <v>13</v>
      </c>
      <c r="B86" s="51"/>
      <c r="C86" s="58">
        <v>59</v>
      </c>
      <c r="D86" s="256" t="s">
        <v>226</v>
      </c>
      <c r="E86" s="255"/>
      <c r="F86" s="255"/>
      <c r="G86" s="255"/>
      <c r="H86" s="55"/>
      <c r="I86" s="46"/>
      <c r="J86" s="53"/>
      <c r="K86" s="76">
        <f t="shared" si="8"/>
        <v>0</v>
      </c>
      <c r="L86" s="51"/>
      <c r="M86" s="9"/>
      <c r="N86" s="9"/>
      <c r="O86" s="9"/>
      <c r="P86" s="9"/>
      <c r="Q86" s="9"/>
      <c r="R86" s="8">
        <f t="shared" ca="1" si="9"/>
        <v>0</v>
      </c>
    </row>
    <row r="87" spans="1:18" ht="17.25">
      <c r="A87" s="41" t="s">
        <v>13</v>
      </c>
      <c r="B87" s="93"/>
      <c r="C87" s="73">
        <v>60</v>
      </c>
      <c r="D87" s="253" t="s">
        <v>203</v>
      </c>
      <c r="E87" s="254"/>
      <c r="F87" s="254"/>
      <c r="G87" s="254"/>
      <c r="H87" s="78"/>
      <c r="I87" s="85"/>
      <c r="J87" s="74"/>
      <c r="K87" s="76">
        <f t="shared" ref="K87:K95" si="10">SUMIF(H87,B$9,E$9)</f>
        <v>0</v>
      </c>
      <c r="L87" s="80"/>
      <c r="M87" s="194"/>
      <c r="N87" s="194"/>
      <c r="O87" s="194"/>
      <c r="P87" s="194"/>
      <c r="Q87" s="194"/>
      <c r="R87" s="8">
        <f t="shared" ca="1" si="9"/>
        <v>0</v>
      </c>
    </row>
    <row r="88" spans="1:18" ht="15.75">
      <c r="A88" s="41"/>
      <c r="B88" s="93"/>
      <c r="C88" s="73"/>
      <c r="D88" s="252" t="s">
        <v>204</v>
      </c>
      <c r="E88" s="252"/>
      <c r="F88" s="252"/>
      <c r="G88" s="252"/>
      <c r="H88" s="78"/>
      <c r="I88" s="85"/>
      <c r="J88" s="74"/>
      <c r="K88" s="76"/>
      <c r="L88" s="80"/>
      <c r="M88" s="194"/>
      <c r="N88" s="194"/>
      <c r="O88" s="194"/>
      <c r="P88" s="194"/>
      <c r="Q88" s="194"/>
      <c r="R88" s="8">
        <f t="shared" ca="1" si="9"/>
        <v>0</v>
      </c>
    </row>
    <row r="89" spans="1:18" ht="17.25">
      <c r="A89" s="41" t="s">
        <v>13</v>
      </c>
      <c r="B89" s="51"/>
      <c r="C89" s="58">
        <v>61</v>
      </c>
      <c r="D89" s="255" t="s">
        <v>227</v>
      </c>
      <c r="E89" s="255"/>
      <c r="F89" s="255"/>
      <c r="G89" s="255"/>
      <c r="H89" s="55"/>
      <c r="I89" s="46"/>
      <c r="J89" s="53"/>
      <c r="K89" s="43">
        <f t="shared" si="10"/>
        <v>0</v>
      </c>
      <c r="L89" s="51"/>
      <c r="M89" s="9"/>
      <c r="N89" s="9"/>
      <c r="O89" s="9"/>
      <c r="P89" s="9"/>
      <c r="Q89" s="9"/>
      <c r="R89" s="8">
        <f t="shared" ca="1" si="9"/>
        <v>0</v>
      </c>
    </row>
    <row r="90" spans="1:18" ht="33">
      <c r="A90" s="41" t="s">
        <v>12</v>
      </c>
      <c r="B90" s="80"/>
      <c r="C90" s="73">
        <v>62</v>
      </c>
      <c r="D90" s="253" t="s">
        <v>205</v>
      </c>
      <c r="E90" s="254"/>
      <c r="F90" s="254"/>
      <c r="G90" s="254"/>
      <c r="H90" s="78"/>
      <c r="I90" s="85"/>
      <c r="J90" s="74"/>
      <c r="K90" s="76">
        <f t="shared" si="10"/>
        <v>0</v>
      </c>
      <c r="L90" s="80"/>
      <c r="M90" s="194"/>
      <c r="N90" s="194"/>
      <c r="O90" s="194"/>
      <c r="P90" s="194"/>
      <c r="Q90" s="194"/>
      <c r="R90" s="8">
        <f t="shared" ca="1" si="9"/>
        <v>0</v>
      </c>
    </row>
    <row r="91" spans="1:18" ht="17.25">
      <c r="A91" s="41" t="s">
        <v>13</v>
      </c>
      <c r="B91" s="51"/>
      <c r="C91" s="58"/>
      <c r="D91" s="260" t="s">
        <v>206</v>
      </c>
      <c r="E91" s="260"/>
      <c r="F91" s="260"/>
      <c r="G91" s="260"/>
      <c r="H91" s="55"/>
      <c r="I91" s="46"/>
      <c r="J91" s="53"/>
      <c r="K91" s="43">
        <f t="shared" si="10"/>
        <v>0</v>
      </c>
      <c r="L91" s="51"/>
      <c r="M91" s="9"/>
      <c r="N91" s="9"/>
      <c r="O91" s="9"/>
      <c r="P91" s="9"/>
      <c r="Q91" s="9"/>
      <c r="R91" s="8">
        <f t="shared" ca="1" si="9"/>
        <v>0</v>
      </c>
    </row>
    <row r="92" spans="1:18" ht="15.75">
      <c r="A92" s="41"/>
      <c r="B92" s="80"/>
      <c r="C92" s="73">
        <v>63</v>
      </c>
      <c r="D92" s="253" t="s">
        <v>207</v>
      </c>
      <c r="E92" s="254"/>
      <c r="F92" s="254"/>
      <c r="G92" s="254"/>
      <c r="H92" s="78"/>
      <c r="I92" s="85"/>
      <c r="J92" s="74"/>
      <c r="K92" s="76">
        <f t="shared" si="10"/>
        <v>0</v>
      </c>
      <c r="L92" s="80"/>
      <c r="M92" s="194"/>
      <c r="N92" s="194"/>
      <c r="O92" s="194"/>
      <c r="P92" s="194"/>
      <c r="Q92" s="194"/>
      <c r="R92" s="8">
        <f t="shared" ca="1" si="9"/>
        <v>0</v>
      </c>
    </row>
    <row r="93" spans="1:18" ht="15.75">
      <c r="A93" s="41"/>
      <c r="B93" s="51"/>
      <c r="C93" s="58">
        <v>64</v>
      </c>
      <c r="D93" s="251" t="s">
        <v>208</v>
      </c>
      <c r="E93" s="252"/>
      <c r="F93" s="252"/>
      <c r="G93" s="252"/>
      <c r="H93" s="55"/>
      <c r="I93" s="46"/>
      <c r="J93" s="53"/>
      <c r="K93" s="43">
        <f t="shared" si="10"/>
        <v>0</v>
      </c>
      <c r="L93" s="51"/>
      <c r="M93" s="9"/>
      <c r="N93" s="9"/>
      <c r="O93" s="9"/>
      <c r="P93" s="9"/>
      <c r="Q93" s="9"/>
      <c r="R93" s="8">
        <f t="shared" ca="1" si="9"/>
        <v>0</v>
      </c>
    </row>
    <row r="94" spans="1:18" ht="15.75">
      <c r="A94" s="41"/>
      <c r="B94" s="80"/>
      <c r="C94" s="73">
        <v>65</v>
      </c>
      <c r="D94" s="254" t="s">
        <v>228</v>
      </c>
      <c r="E94" s="254"/>
      <c r="F94" s="254"/>
      <c r="G94" s="254"/>
      <c r="H94" s="78"/>
      <c r="I94" s="85"/>
      <c r="J94" s="74"/>
      <c r="K94" s="76">
        <f t="shared" si="10"/>
        <v>0</v>
      </c>
      <c r="L94" s="80"/>
      <c r="M94" s="194"/>
      <c r="N94" s="194"/>
      <c r="O94" s="194"/>
      <c r="P94" s="194"/>
      <c r="Q94" s="194"/>
      <c r="R94" s="8">
        <f t="shared" ca="1" si="9"/>
        <v>0</v>
      </c>
    </row>
    <row r="95" spans="1:18" ht="17.25">
      <c r="A95" s="41" t="s">
        <v>13</v>
      </c>
      <c r="B95" s="51"/>
      <c r="C95" s="58">
        <v>66</v>
      </c>
      <c r="D95" s="256" t="s">
        <v>209</v>
      </c>
      <c r="E95" s="255"/>
      <c r="F95" s="255"/>
      <c r="G95" s="255"/>
      <c r="H95" s="55"/>
      <c r="I95" s="46"/>
      <c r="J95" s="53"/>
      <c r="K95" s="76">
        <f t="shared" si="10"/>
        <v>0</v>
      </c>
      <c r="L95" s="51"/>
      <c r="M95" s="9"/>
      <c r="N95" s="9"/>
      <c r="O95" s="9"/>
      <c r="P95" s="9"/>
      <c r="Q95" s="9"/>
      <c r="R95" s="8">
        <f t="shared" ca="1" si="9"/>
        <v>0</v>
      </c>
    </row>
    <row r="96" spans="1:18" ht="17.25">
      <c r="A96" s="41" t="s">
        <v>13</v>
      </c>
      <c r="B96" s="93"/>
      <c r="C96" s="73">
        <v>67</v>
      </c>
      <c r="D96" s="253" t="s">
        <v>210</v>
      </c>
      <c r="E96" s="254"/>
      <c r="F96" s="254"/>
      <c r="G96" s="254"/>
      <c r="H96" s="78"/>
      <c r="I96" s="85"/>
      <c r="J96" s="74"/>
      <c r="K96" s="76">
        <f t="shared" ref="K96" si="11">SUMIF(H96,B$9,E$9)</f>
        <v>0</v>
      </c>
      <c r="L96" s="80"/>
      <c r="M96" s="194"/>
      <c r="N96" s="194"/>
      <c r="O96" s="194"/>
      <c r="P96" s="194"/>
      <c r="Q96" s="194"/>
      <c r="R96" s="8">
        <f t="shared" ca="1" si="9"/>
        <v>0</v>
      </c>
    </row>
    <row r="97" spans="1:19" ht="15.75">
      <c r="A97" s="41"/>
      <c r="B97" s="93"/>
      <c r="C97" s="73">
        <v>68</v>
      </c>
      <c r="D97" s="254" t="s">
        <v>229</v>
      </c>
      <c r="E97" s="252"/>
      <c r="F97" s="252"/>
      <c r="G97" s="252"/>
      <c r="H97" s="78"/>
      <c r="I97" s="85"/>
      <c r="J97" s="74"/>
      <c r="K97" s="76"/>
      <c r="L97" s="80"/>
      <c r="M97" s="194"/>
      <c r="N97" s="194"/>
      <c r="O97" s="194"/>
      <c r="P97" s="194"/>
      <c r="Q97" s="194"/>
      <c r="R97" s="8">
        <f t="shared" ca="1" si="9"/>
        <v>0</v>
      </c>
    </row>
    <row r="98" spans="1:19" ht="17.25">
      <c r="A98" s="41" t="s">
        <v>13</v>
      </c>
      <c r="B98" s="51"/>
      <c r="C98" s="58">
        <v>69</v>
      </c>
      <c r="D98" s="255" t="s">
        <v>211</v>
      </c>
      <c r="E98" s="255"/>
      <c r="F98" s="255"/>
      <c r="G98" s="255"/>
      <c r="H98" s="55"/>
      <c r="I98" s="46"/>
      <c r="J98" s="53"/>
      <c r="K98" s="43">
        <f t="shared" ref="K98:K102" si="12">SUMIF(H98,B$9,E$9)</f>
        <v>0</v>
      </c>
      <c r="L98" s="51"/>
      <c r="M98" s="9"/>
      <c r="N98" s="9"/>
      <c r="O98" s="9"/>
      <c r="P98" s="9"/>
      <c r="Q98" s="9"/>
      <c r="R98" s="8">
        <f t="shared" ca="1" si="9"/>
        <v>0</v>
      </c>
    </row>
    <row r="99" spans="1:19" ht="15.75">
      <c r="A99" s="41"/>
      <c r="B99" s="51"/>
      <c r="C99" s="58"/>
      <c r="D99" s="251" t="s">
        <v>212</v>
      </c>
      <c r="E99" s="252"/>
      <c r="F99" s="252"/>
      <c r="G99" s="252"/>
      <c r="H99" s="55"/>
      <c r="I99" s="46"/>
      <c r="J99" s="53"/>
      <c r="K99" s="43">
        <f t="shared" si="12"/>
        <v>0</v>
      </c>
      <c r="L99" s="51"/>
      <c r="M99" s="9"/>
      <c r="N99" s="9"/>
      <c r="O99" s="9"/>
      <c r="P99" s="9"/>
      <c r="Q99" s="9"/>
      <c r="R99" s="8">
        <f t="shared" ca="1" si="9"/>
        <v>0</v>
      </c>
    </row>
    <row r="100" spans="1:19" ht="15.75">
      <c r="A100" s="41"/>
      <c r="B100" s="80"/>
      <c r="C100" s="73">
        <v>70</v>
      </c>
      <c r="D100" s="254" t="s">
        <v>213</v>
      </c>
      <c r="E100" s="254"/>
      <c r="F100" s="254"/>
      <c r="G100" s="254"/>
      <c r="H100" s="78"/>
      <c r="I100" s="85"/>
      <c r="J100" s="74"/>
      <c r="K100" s="76">
        <f t="shared" si="12"/>
        <v>0</v>
      </c>
      <c r="L100" s="80"/>
      <c r="M100" s="194"/>
      <c r="N100" s="194"/>
      <c r="O100" s="194"/>
      <c r="P100" s="194"/>
      <c r="Q100" s="194"/>
      <c r="R100" s="8">
        <f t="shared" ca="1" si="9"/>
        <v>0</v>
      </c>
    </row>
    <row r="101" spans="1:19" ht="17.25">
      <c r="A101" s="41" t="s">
        <v>13</v>
      </c>
      <c r="B101" s="51"/>
      <c r="C101" s="58">
        <v>71</v>
      </c>
      <c r="D101" s="256" t="s">
        <v>280</v>
      </c>
      <c r="E101" s="255"/>
      <c r="F101" s="255"/>
      <c r="G101" s="255"/>
      <c r="H101" s="55"/>
      <c r="I101" s="46"/>
      <c r="J101" s="53"/>
      <c r="K101" s="76">
        <f t="shared" si="12"/>
        <v>0</v>
      </c>
      <c r="L101" s="51"/>
      <c r="M101" s="9"/>
      <c r="N101" s="9"/>
      <c r="O101" s="9"/>
      <c r="P101" s="9"/>
      <c r="Q101" s="9"/>
      <c r="R101" s="8">
        <f t="shared" ca="1" si="9"/>
        <v>0</v>
      </c>
    </row>
    <row r="102" spans="1:19" ht="33">
      <c r="A102" s="41" t="s">
        <v>12</v>
      </c>
      <c r="B102" s="80"/>
      <c r="C102" s="58">
        <v>72</v>
      </c>
      <c r="D102" s="253" t="s">
        <v>230</v>
      </c>
      <c r="E102" s="254"/>
      <c r="F102" s="254"/>
      <c r="G102" s="254"/>
      <c r="H102" s="78"/>
      <c r="I102" s="85"/>
      <c r="J102" s="74"/>
      <c r="K102" s="76">
        <f t="shared" si="12"/>
        <v>0</v>
      </c>
      <c r="L102" s="80"/>
      <c r="M102" s="194"/>
      <c r="N102" s="194"/>
      <c r="O102" s="194"/>
      <c r="P102" s="194"/>
      <c r="Q102" s="194"/>
      <c r="R102" s="8">
        <f t="shared" ca="1" si="9"/>
        <v>0</v>
      </c>
    </row>
    <row r="103" spans="1:19" ht="15.75">
      <c r="A103" s="41"/>
      <c r="B103" s="51"/>
      <c r="C103" s="58"/>
      <c r="D103" s="251" t="s">
        <v>214</v>
      </c>
      <c r="E103" s="252"/>
      <c r="F103" s="252"/>
      <c r="G103" s="252"/>
      <c r="H103" s="55"/>
      <c r="I103" s="46"/>
      <c r="J103" s="53"/>
      <c r="K103" s="43">
        <f t="shared" ref="K103:K111" si="13">SUMIF(H103,B$9,E$9)</f>
        <v>0</v>
      </c>
      <c r="L103" s="51"/>
      <c r="M103" s="9"/>
      <c r="N103" s="9"/>
      <c r="O103" s="9"/>
      <c r="P103" s="9"/>
      <c r="Q103" s="9"/>
      <c r="R103" s="8">
        <f t="shared" ca="1" si="9"/>
        <v>0</v>
      </c>
    </row>
    <row r="104" spans="1:19" ht="17.25">
      <c r="A104" s="41" t="s">
        <v>13</v>
      </c>
      <c r="B104" s="80"/>
      <c r="C104" s="73">
        <v>73</v>
      </c>
      <c r="D104" s="254" t="s">
        <v>337</v>
      </c>
      <c r="E104" s="254"/>
      <c r="F104" s="254"/>
      <c r="G104" s="254"/>
      <c r="H104" s="78"/>
      <c r="I104" s="85"/>
      <c r="J104" s="74"/>
      <c r="K104" s="76">
        <f t="shared" si="13"/>
        <v>0</v>
      </c>
      <c r="L104" s="80"/>
      <c r="M104" s="194"/>
      <c r="N104" s="194"/>
      <c r="O104" s="194"/>
      <c r="P104" s="194"/>
      <c r="Q104" s="194"/>
      <c r="R104" s="8">
        <f t="shared" ca="1" si="9"/>
        <v>0</v>
      </c>
    </row>
    <row r="105" spans="1:19" ht="33">
      <c r="A105" s="41" t="s">
        <v>12</v>
      </c>
      <c r="B105" s="51"/>
      <c r="C105" s="58">
        <v>74</v>
      </c>
      <c r="D105" s="256" t="s">
        <v>231</v>
      </c>
      <c r="E105" s="255"/>
      <c r="F105" s="255"/>
      <c r="G105" s="255"/>
      <c r="H105" s="55"/>
      <c r="I105" s="46"/>
      <c r="J105" s="53"/>
      <c r="K105" s="76">
        <f t="shared" si="13"/>
        <v>0</v>
      </c>
      <c r="L105" s="51"/>
      <c r="M105" s="9"/>
      <c r="N105" s="9"/>
      <c r="O105" s="9"/>
      <c r="P105" s="9"/>
      <c r="Q105" s="9"/>
      <c r="R105" s="8">
        <f t="shared" ca="1" si="9"/>
        <v>0</v>
      </c>
    </row>
    <row r="106" spans="1:19" ht="17.25">
      <c r="A106" s="41" t="s">
        <v>13</v>
      </c>
      <c r="B106" s="80"/>
      <c r="C106" s="73">
        <v>75</v>
      </c>
      <c r="D106" s="251" t="s">
        <v>271</v>
      </c>
      <c r="E106" s="252"/>
      <c r="F106" s="252"/>
      <c r="G106" s="252"/>
      <c r="H106" s="78"/>
      <c r="I106" s="85"/>
      <c r="J106" s="74"/>
      <c r="K106" s="76">
        <f t="shared" si="13"/>
        <v>0</v>
      </c>
      <c r="L106" s="80"/>
      <c r="M106" s="194"/>
      <c r="N106" s="194"/>
      <c r="O106" s="194"/>
      <c r="P106" s="194"/>
      <c r="Q106" s="194"/>
      <c r="R106" s="8">
        <f t="shared" ca="1" si="9"/>
        <v>0</v>
      </c>
    </row>
    <row r="107" spans="1:19" ht="16.5" thickBot="1">
      <c r="A107" s="41"/>
      <c r="B107" s="80"/>
      <c r="C107" s="73"/>
      <c r="D107" s="249" t="s">
        <v>281</v>
      </c>
      <c r="E107" s="250"/>
      <c r="F107" s="250"/>
      <c r="G107" s="187"/>
      <c r="H107" s="78"/>
      <c r="I107" s="85"/>
      <c r="J107" s="74"/>
      <c r="K107" s="76"/>
      <c r="L107" s="80"/>
      <c r="M107" s="194"/>
      <c r="N107" s="194"/>
      <c r="O107" s="194"/>
      <c r="P107" s="194"/>
      <c r="Q107" s="194"/>
      <c r="R107" s="196">
        <f ca="1">SUM(R16:R106)</f>
        <v>0</v>
      </c>
    </row>
    <row r="108" spans="1:19" ht="16.5" thickBot="1">
      <c r="A108" s="41"/>
      <c r="B108" s="80"/>
      <c r="C108" s="73"/>
      <c r="D108" s="249" t="s">
        <v>330</v>
      </c>
      <c r="E108" s="250"/>
      <c r="F108" s="250"/>
      <c r="G108" s="187"/>
      <c r="H108" s="78"/>
      <c r="I108" s="85"/>
      <c r="J108" s="74"/>
      <c r="K108" s="76"/>
      <c r="L108" s="80"/>
      <c r="M108" s="194"/>
      <c r="N108" s="194"/>
      <c r="O108" s="194"/>
      <c r="P108" s="194"/>
      <c r="Q108" s="194"/>
      <c r="R108" s="224">
        <f ca="1">SUM(R16:R107)</f>
        <v>0</v>
      </c>
      <c r="S108">
        <f ca="1">+C106-R108</f>
        <v>75</v>
      </c>
    </row>
    <row r="109" spans="1:19" ht="15.75">
      <c r="A109" s="41"/>
      <c r="B109" s="80"/>
      <c r="C109" s="73"/>
      <c r="D109" s="251" t="s">
        <v>272</v>
      </c>
      <c r="E109" s="252"/>
      <c r="F109" s="252"/>
      <c r="G109" s="252"/>
      <c r="H109" s="78"/>
      <c r="I109" s="85"/>
      <c r="J109" s="74"/>
      <c r="K109" s="76"/>
      <c r="L109" s="80"/>
      <c r="M109" s="194"/>
      <c r="N109" s="194"/>
      <c r="O109" s="194"/>
      <c r="P109" s="194"/>
      <c r="Q109" s="194"/>
    </row>
    <row r="110" spans="1:19" ht="15.75">
      <c r="A110" s="41"/>
      <c r="B110" s="80"/>
      <c r="C110" s="73"/>
      <c r="D110" s="251" t="s">
        <v>273</v>
      </c>
      <c r="E110" s="252"/>
      <c r="F110" s="252"/>
      <c r="G110" s="252"/>
      <c r="H110" s="78"/>
      <c r="I110" s="85"/>
      <c r="J110" s="74"/>
      <c r="K110" s="76"/>
      <c r="L110" s="80"/>
      <c r="M110" s="194"/>
      <c r="N110" s="194"/>
      <c r="O110" s="194"/>
      <c r="P110" s="194"/>
      <c r="Q110" s="194"/>
    </row>
    <row r="111" spans="1:19" ht="16.5" thickBot="1">
      <c r="A111" s="47"/>
      <c r="B111" s="51"/>
      <c r="C111" s="59"/>
      <c r="D111" s="9"/>
      <c r="E111" s="9"/>
      <c r="F111" s="9"/>
      <c r="G111" s="9"/>
      <c r="H111" s="60"/>
      <c r="I111" s="61"/>
      <c r="J111" s="51"/>
      <c r="K111" s="76">
        <f t="shared" si="13"/>
        <v>0</v>
      </c>
      <c r="L111" s="51"/>
      <c r="M111" s="9"/>
      <c r="N111" s="9"/>
      <c r="O111" s="9"/>
      <c r="P111" s="9"/>
      <c r="Q111" s="9"/>
    </row>
    <row r="112" spans="1:19" ht="16.5" thickBot="1">
      <c r="B112" s="152" t="s">
        <v>75</v>
      </c>
      <c r="C112" s="62"/>
      <c r="D112" s="63"/>
      <c r="E112" s="63"/>
      <c r="F112" s="63"/>
      <c r="G112" s="63"/>
      <c r="H112" s="64"/>
      <c r="I112" s="64"/>
      <c r="J112" s="63"/>
      <c r="K112" s="99"/>
      <c r="L112" s="65"/>
      <c r="M112" s="9"/>
      <c r="N112" s="9"/>
      <c r="O112" s="9"/>
      <c r="P112" s="9"/>
      <c r="Q112" s="9"/>
    </row>
    <row r="113" spans="1:17" ht="15.75" thickTop="1">
      <c r="B113" s="66"/>
      <c r="C113" s="67"/>
      <c r="D113" s="9"/>
      <c r="E113" s="9"/>
      <c r="F113" s="9"/>
      <c r="G113" s="9"/>
      <c r="H113" s="61"/>
      <c r="I113" s="61"/>
      <c r="J113" s="9"/>
      <c r="K113" s="9"/>
      <c r="L113" s="68"/>
      <c r="M113" s="9"/>
      <c r="N113" s="9"/>
      <c r="O113" s="9"/>
      <c r="P113" s="9"/>
      <c r="Q113" s="9"/>
    </row>
    <row r="114" spans="1:17">
      <c r="B114" s="66"/>
      <c r="C114" s="67"/>
      <c r="D114" s="9"/>
      <c r="E114" s="9"/>
      <c r="F114" s="9"/>
      <c r="G114" s="9"/>
      <c r="H114" s="61"/>
      <c r="I114" s="61"/>
      <c r="J114" s="9"/>
      <c r="K114" s="9"/>
      <c r="L114" s="68"/>
      <c r="M114" s="9"/>
      <c r="N114" s="9"/>
      <c r="O114" s="9"/>
      <c r="P114" s="9"/>
      <c r="Q114" s="9"/>
    </row>
    <row r="115" spans="1:17">
      <c r="B115" s="66"/>
      <c r="C115" s="67"/>
      <c r="D115" s="9"/>
      <c r="E115" s="9"/>
      <c r="F115" s="9"/>
      <c r="G115" s="9"/>
      <c r="H115" s="61"/>
      <c r="I115" s="61"/>
      <c r="J115" s="9"/>
      <c r="K115" s="9"/>
      <c r="L115" s="68"/>
      <c r="M115" s="9"/>
      <c r="N115" s="9"/>
      <c r="O115" s="9"/>
      <c r="P115" s="9"/>
      <c r="Q115" s="9"/>
    </row>
    <row r="116" spans="1:17" ht="15.75" thickBot="1">
      <c r="B116" s="69"/>
      <c r="C116" s="70"/>
      <c r="D116" s="48"/>
      <c r="E116" s="48"/>
      <c r="F116" s="48"/>
      <c r="G116" s="48"/>
      <c r="H116" s="49"/>
      <c r="I116" s="49"/>
      <c r="J116" s="48"/>
      <c r="K116" s="48"/>
      <c r="L116" s="71"/>
      <c r="M116" s="9"/>
      <c r="N116" s="9"/>
      <c r="O116" s="9"/>
      <c r="P116" s="9"/>
      <c r="Q116" s="9"/>
    </row>
    <row r="117" spans="1:17">
      <c r="E117" s="3"/>
      <c r="G117" s="3" t="s">
        <v>84</v>
      </c>
      <c r="K117" s="218">
        <f ca="1">+SUM(K16:K111)/S108</f>
        <v>1.3333333333333334E-2</v>
      </c>
      <c r="L117" s="219" t="s">
        <v>4</v>
      </c>
      <c r="M117" s="3"/>
      <c r="N117" s="3"/>
      <c r="O117" s="3"/>
      <c r="P117" s="3"/>
      <c r="Q117" s="3"/>
    </row>
    <row r="118" spans="1:17" s="94" customFormat="1" ht="16.5" thickBot="1">
      <c r="A118" s="5"/>
      <c r="C118" s="95"/>
      <c r="D118" s="98" t="s">
        <v>78</v>
      </c>
      <c r="E118" s="225"/>
      <c r="F118" s="97" t="s">
        <v>79</v>
      </c>
      <c r="G118" s="97" t="s">
        <v>83</v>
      </c>
      <c r="H118" s="96"/>
      <c r="I118" s="96"/>
      <c r="K118" s="100"/>
    </row>
    <row r="119" spans="1:17" s="94" customFormat="1" ht="16.5" thickTop="1">
      <c r="A119" s="5"/>
      <c r="C119" s="95"/>
      <c r="E119" s="225"/>
      <c r="F119" s="97" t="s">
        <v>81</v>
      </c>
      <c r="G119" s="97" t="s">
        <v>82</v>
      </c>
      <c r="H119" s="96"/>
      <c r="I119" s="96"/>
    </row>
    <row r="120" spans="1:17" s="94" customFormat="1" ht="15.75">
      <c r="A120" s="5"/>
      <c r="C120" s="95"/>
      <c r="E120" s="225" t="s">
        <v>6</v>
      </c>
      <c r="F120" s="97" t="s">
        <v>80</v>
      </c>
      <c r="G120" s="97" t="s">
        <v>85</v>
      </c>
      <c r="H120" s="96"/>
      <c r="I120" s="96"/>
    </row>
    <row r="121" spans="1:17" s="94" customFormat="1">
      <c r="A121" s="5"/>
      <c r="C121" s="95"/>
      <c r="H121" s="96"/>
      <c r="I121" s="96"/>
    </row>
  </sheetData>
  <mergeCells count="90">
    <mergeCell ref="D103:G103"/>
    <mergeCell ref="D104:G104"/>
    <mergeCell ref="D105:G105"/>
    <mergeCell ref="D98:G98"/>
    <mergeCell ref="D102:G102"/>
    <mergeCell ref="D99:G99"/>
    <mergeCell ref="D100:G100"/>
    <mergeCell ref="D101:G101"/>
    <mergeCell ref="D90:G90"/>
    <mergeCell ref="D97:G97"/>
    <mergeCell ref="D88:G88"/>
    <mergeCell ref="D91:G91"/>
    <mergeCell ref="D92:G92"/>
    <mergeCell ref="D93:G93"/>
    <mergeCell ref="D94:G94"/>
    <mergeCell ref="D95:G95"/>
    <mergeCell ref="D96:G96"/>
    <mergeCell ref="D55:G55"/>
    <mergeCell ref="D49:G49"/>
    <mergeCell ref="D86:G86"/>
    <mergeCell ref="D87:G87"/>
    <mergeCell ref="D89:G89"/>
    <mergeCell ref="D63:G63"/>
    <mergeCell ref="D64:G64"/>
    <mergeCell ref="D67:G67"/>
    <mergeCell ref="D68:G68"/>
    <mergeCell ref="D56:G56"/>
    <mergeCell ref="D85:G85"/>
    <mergeCell ref="D69:G69"/>
    <mergeCell ref="D70:G70"/>
    <mergeCell ref="D71:G71"/>
    <mergeCell ref="D57:G57"/>
    <mergeCell ref="D58:G58"/>
    <mergeCell ref="D48:G48"/>
    <mergeCell ref="D50:G50"/>
    <mergeCell ref="D51:G51"/>
    <mergeCell ref="D52:G52"/>
    <mergeCell ref="D53:G53"/>
    <mergeCell ref="D44:G44"/>
    <mergeCell ref="D41:G41"/>
    <mergeCell ref="D42:G42"/>
    <mergeCell ref="D45:G45"/>
    <mergeCell ref="D46:G46"/>
    <mergeCell ref="B1:L1"/>
    <mergeCell ref="D15:G15"/>
    <mergeCell ref="D21:G21"/>
    <mergeCell ref="D22:G22"/>
    <mergeCell ref="D23:G23"/>
    <mergeCell ref="E2:L2"/>
    <mergeCell ref="E3:L3"/>
    <mergeCell ref="E4:L4"/>
    <mergeCell ref="D17:G17"/>
    <mergeCell ref="D18:G18"/>
    <mergeCell ref="D19:G19"/>
    <mergeCell ref="D25:G25"/>
    <mergeCell ref="D26:G26"/>
    <mergeCell ref="D24:G24"/>
    <mergeCell ref="D37:G37"/>
    <mergeCell ref="D28:G28"/>
    <mergeCell ref="D29:G29"/>
    <mergeCell ref="D30:G30"/>
    <mergeCell ref="D31:G31"/>
    <mergeCell ref="D32:G32"/>
    <mergeCell ref="D39:G39"/>
    <mergeCell ref="D40:G40"/>
    <mergeCell ref="D33:G33"/>
    <mergeCell ref="D35:G35"/>
    <mergeCell ref="D36:G36"/>
    <mergeCell ref="D84:G84"/>
    <mergeCell ref="D66:G66"/>
    <mergeCell ref="D59:G59"/>
    <mergeCell ref="D60:G60"/>
    <mergeCell ref="D61:G61"/>
    <mergeCell ref="D62:G62"/>
    <mergeCell ref="D108:F108"/>
    <mergeCell ref="D107:F107"/>
    <mergeCell ref="D109:G109"/>
    <mergeCell ref="D110:G110"/>
    <mergeCell ref="D72:G72"/>
    <mergeCell ref="D73:G73"/>
    <mergeCell ref="D74:G74"/>
    <mergeCell ref="D75:G75"/>
    <mergeCell ref="D106:G106"/>
    <mergeCell ref="D77:G77"/>
    <mergeCell ref="D78:G78"/>
    <mergeCell ref="D79:G79"/>
    <mergeCell ref="D80:G80"/>
    <mergeCell ref="D81:G81"/>
    <mergeCell ref="D82:G82"/>
    <mergeCell ref="D83:G83"/>
  </mergeCells>
  <dataValidations count="2">
    <dataValidation type="list" allowBlank="1" showInputMessage="1" showErrorMessage="1" sqref="H16:I110" xr:uid="{00000000-0002-0000-0000-000000000000}">
      <formula1>$B$8:$B$10</formula1>
    </dataValidation>
    <dataValidation type="list" allowBlank="1" showInputMessage="1" showErrorMessage="1" sqref="J16:J110" xr:uid="{00000000-0002-0000-0000-000001000000}">
      <formula1>$G$8:$G$10</formula1>
    </dataValidation>
  </dataValidations>
  <pageMargins left="0.43307086614173229" right="0.35433070866141736" top="0.47244094488188981" bottom="0.74803149606299213" header="0.31496062992125984" footer="0.31496062992125984"/>
  <pageSetup paperSize="9" scale="63" orientation="portrait" r:id="rId1"/>
  <headerFooter>
    <oddFooter>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"/>
  <sheetViews>
    <sheetView view="pageBreakPreview" topLeftCell="B1" zoomScaleNormal="100" zoomScaleSheetLayoutView="100" workbookViewId="0">
      <selection activeCell="E4" sqref="E4:K4"/>
    </sheetView>
  </sheetViews>
  <sheetFormatPr baseColWidth="10" defaultRowHeight="15"/>
  <cols>
    <col min="1" max="1" width="2.7109375" style="114" customWidth="1"/>
    <col min="2" max="2" width="3.7109375" customWidth="1"/>
    <col min="3" max="3" width="9.140625" customWidth="1"/>
    <col min="4" max="4" width="19" customWidth="1"/>
    <col min="5" max="5" width="6.140625" customWidth="1"/>
    <col min="6" max="6" width="11" customWidth="1"/>
    <col min="7" max="7" width="26.28515625" customWidth="1"/>
    <col min="8" max="9" width="6.140625" customWidth="1"/>
    <col min="10" max="10" width="11.140625" customWidth="1"/>
    <col min="175" max="175" width="5.28515625" customWidth="1"/>
    <col min="176" max="176" width="39.5703125" customWidth="1"/>
    <col min="177" max="177" width="2.7109375" customWidth="1"/>
    <col min="178" max="179" width="2.5703125" bestFit="1" customWidth="1"/>
    <col min="180" max="180" width="2.5703125" customWidth="1"/>
    <col min="181" max="230" width="2.28515625" customWidth="1"/>
    <col min="231" max="235" width="2" customWidth="1"/>
    <col min="236" max="250" width="2.28515625" customWidth="1"/>
    <col min="251" max="255" width="2" customWidth="1"/>
    <col min="256" max="256" width="2.28515625" customWidth="1"/>
    <col min="257" max="257" width="40.5703125" customWidth="1"/>
    <col min="258" max="259" width="3.5703125" customWidth="1"/>
    <col min="260" max="260" width="3.7109375" customWidth="1"/>
    <col min="261" max="261" width="3.42578125" customWidth="1"/>
    <col min="262" max="263" width="3.140625" customWidth="1"/>
    <col min="264" max="264" width="3.28515625" customWidth="1"/>
    <col min="265" max="265" width="3.5703125" customWidth="1"/>
    <col min="431" max="431" width="5.28515625" customWidth="1"/>
    <col min="432" max="432" width="39.5703125" customWidth="1"/>
    <col min="433" max="433" width="2.7109375" customWidth="1"/>
    <col min="434" max="435" width="2.5703125" bestFit="1" customWidth="1"/>
    <col min="436" max="436" width="2.5703125" customWidth="1"/>
    <col min="437" max="486" width="2.28515625" customWidth="1"/>
    <col min="487" max="491" width="2" customWidth="1"/>
    <col min="492" max="506" width="2.28515625" customWidth="1"/>
    <col min="507" max="511" width="2" customWidth="1"/>
    <col min="512" max="512" width="2.28515625" customWidth="1"/>
    <col min="513" max="513" width="40.5703125" customWidth="1"/>
    <col min="514" max="515" width="3.5703125" customWidth="1"/>
    <col min="516" max="516" width="3.7109375" customWidth="1"/>
    <col min="517" max="517" width="3.42578125" customWidth="1"/>
    <col min="518" max="519" width="3.140625" customWidth="1"/>
    <col min="520" max="520" width="3.28515625" customWidth="1"/>
    <col min="521" max="521" width="3.5703125" customWidth="1"/>
    <col min="687" max="687" width="5.28515625" customWidth="1"/>
    <col min="688" max="688" width="39.5703125" customWidth="1"/>
    <col min="689" max="689" width="2.7109375" customWidth="1"/>
    <col min="690" max="691" width="2.5703125" bestFit="1" customWidth="1"/>
    <col min="692" max="692" width="2.5703125" customWidth="1"/>
    <col min="693" max="742" width="2.28515625" customWidth="1"/>
    <col min="743" max="747" width="2" customWidth="1"/>
    <col min="748" max="762" width="2.28515625" customWidth="1"/>
    <col min="763" max="767" width="2" customWidth="1"/>
    <col min="768" max="768" width="2.28515625" customWidth="1"/>
    <col min="769" max="769" width="40.5703125" customWidth="1"/>
    <col min="770" max="771" width="3.5703125" customWidth="1"/>
    <col min="772" max="772" width="3.7109375" customWidth="1"/>
    <col min="773" max="773" width="3.42578125" customWidth="1"/>
    <col min="774" max="775" width="3.140625" customWidth="1"/>
    <col min="776" max="776" width="3.28515625" customWidth="1"/>
    <col min="777" max="777" width="3.5703125" customWidth="1"/>
    <col min="943" max="943" width="5.28515625" customWidth="1"/>
    <col min="944" max="944" width="39.5703125" customWidth="1"/>
    <col min="945" max="945" width="2.7109375" customWidth="1"/>
    <col min="946" max="947" width="2.5703125" bestFit="1" customWidth="1"/>
    <col min="948" max="948" width="2.5703125" customWidth="1"/>
    <col min="949" max="998" width="2.28515625" customWidth="1"/>
    <col min="999" max="1003" width="2" customWidth="1"/>
    <col min="1004" max="1018" width="2.28515625" customWidth="1"/>
    <col min="1019" max="1023" width="2" customWidth="1"/>
    <col min="1024" max="1024" width="2.28515625" customWidth="1"/>
    <col min="1025" max="1025" width="40.5703125" customWidth="1"/>
    <col min="1026" max="1027" width="3.5703125" customWidth="1"/>
    <col min="1028" max="1028" width="3.7109375" customWidth="1"/>
    <col min="1029" max="1029" width="3.42578125" customWidth="1"/>
    <col min="1030" max="1031" width="3.140625" customWidth="1"/>
    <col min="1032" max="1032" width="3.28515625" customWidth="1"/>
    <col min="1033" max="1033" width="3.5703125" customWidth="1"/>
    <col min="1199" max="1199" width="5.28515625" customWidth="1"/>
    <col min="1200" max="1200" width="39.5703125" customWidth="1"/>
    <col min="1201" max="1201" width="2.7109375" customWidth="1"/>
    <col min="1202" max="1203" width="2.5703125" bestFit="1" customWidth="1"/>
    <col min="1204" max="1204" width="2.5703125" customWidth="1"/>
    <col min="1205" max="1254" width="2.28515625" customWidth="1"/>
    <col min="1255" max="1259" width="2" customWidth="1"/>
    <col min="1260" max="1274" width="2.28515625" customWidth="1"/>
    <col min="1275" max="1279" width="2" customWidth="1"/>
    <col min="1280" max="1280" width="2.28515625" customWidth="1"/>
    <col min="1281" max="1281" width="40.5703125" customWidth="1"/>
    <col min="1282" max="1283" width="3.5703125" customWidth="1"/>
    <col min="1284" max="1284" width="3.7109375" customWidth="1"/>
    <col min="1285" max="1285" width="3.42578125" customWidth="1"/>
    <col min="1286" max="1287" width="3.140625" customWidth="1"/>
    <col min="1288" max="1288" width="3.28515625" customWidth="1"/>
    <col min="1289" max="1289" width="3.5703125" customWidth="1"/>
    <col min="1455" max="1455" width="5.28515625" customWidth="1"/>
    <col min="1456" max="1456" width="39.5703125" customWidth="1"/>
    <col min="1457" max="1457" width="2.7109375" customWidth="1"/>
    <col min="1458" max="1459" width="2.5703125" bestFit="1" customWidth="1"/>
    <col min="1460" max="1460" width="2.5703125" customWidth="1"/>
    <col min="1461" max="1510" width="2.28515625" customWidth="1"/>
    <col min="1511" max="1515" width="2" customWidth="1"/>
    <col min="1516" max="1530" width="2.28515625" customWidth="1"/>
    <col min="1531" max="1535" width="2" customWidth="1"/>
    <col min="1536" max="1536" width="2.28515625" customWidth="1"/>
    <col min="1537" max="1537" width="40.5703125" customWidth="1"/>
    <col min="1538" max="1539" width="3.5703125" customWidth="1"/>
    <col min="1540" max="1540" width="3.7109375" customWidth="1"/>
    <col min="1541" max="1541" width="3.42578125" customWidth="1"/>
    <col min="1542" max="1543" width="3.140625" customWidth="1"/>
    <col min="1544" max="1544" width="3.28515625" customWidth="1"/>
    <col min="1545" max="1545" width="3.5703125" customWidth="1"/>
    <col min="1711" max="1711" width="5.28515625" customWidth="1"/>
    <col min="1712" max="1712" width="39.5703125" customWidth="1"/>
    <col min="1713" max="1713" width="2.7109375" customWidth="1"/>
    <col min="1714" max="1715" width="2.5703125" bestFit="1" customWidth="1"/>
    <col min="1716" max="1716" width="2.5703125" customWidth="1"/>
    <col min="1717" max="1766" width="2.28515625" customWidth="1"/>
    <col min="1767" max="1771" width="2" customWidth="1"/>
    <col min="1772" max="1786" width="2.28515625" customWidth="1"/>
    <col min="1787" max="1791" width="2" customWidth="1"/>
    <col min="1792" max="1792" width="2.28515625" customWidth="1"/>
    <col min="1793" max="1793" width="40.5703125" customWidth="1"/>
    <col min="1794" max="1795" width="3.5703125" customWidth="1"/>
    <col min="1796" max="1796" width="3.7109375" customWidth="1"/>
    <col min="1797" max="1797" width="3.42578125" customWidth="1"/>
    <col min="1798" max="1799" width="3.140625" customWidth="1"/>
    <col min="1800" max="1800" width="3.28515625" customWidth="1"/>
    <col min="1801" max="1801" width="3.5703125" customWidth="1"/>
    <col min="1967" max="1967" width="5.28515625" customWidth="1"/>
    <col min="1968" max="1968" width="39.5703125" customWidth="1"/>
    <col min="1969" max="1969" width="2.7109375" customWidth="1"/>
    <col min="1970" max="1971" width="2.5703125" bestFit="1" customWidth="1"/>
    <col min="1972" max="1972" width="2.5703125" customWidth="1"/>
    <col min="1973" max="2022" width="2.28515625" customWidth="1"/>
    <col min="2023" max="2027" width="2" customWidth="1"/>
    <col min="2028" max="2042" width="2.28515625" customWidth="1"/>
    <col min="2043" max="2047" width="2" customWidth="1"/>
    <col min="2048" max="2048" width="2.28515625" customWidth="1"/>
    <col min="2049" max="2049" width="40.5703125" customWidth="1"/>
    <col min="2050" max="2051" width="3.5703125" customWidth="1"/>
    <col min="2052" max="2052" width="3.7109375" customWidth="1"/>
    <col min="2053" max="2053" width="3.42578125" customWidth="1"/>
    <col min="2054" max="2055" width="3.140625" customWidth="1"/>
    <col min="2056" max="2056" width="3.28515625" customWidth="1"/>
    <col min="2057" max="2057" width="3.5703125" customWidth="1"/>
    <col min="2223" max="2223" width="5.28515625" customWidth="1"/>
    <col min="2224" max="2224" width="39.5703125" customWidth="1"/>
    <col min="2225" max="2225" width="2.7109375" customWidth="1"/>
    <col min="2226" max="2227" width="2.5703125" bestFit="1" customWidth="1"/>
    <col min="2228" max="2228" width="2.5703125" customWidth="1"/>
    <col min="2229" max="2278" width="2.28515625" customWidth="1"/>
    <col min="2279" max="2283" width="2" customWidth="1"/>
    <col min="2284" max="2298" width="2.28515625" customWidth="1"/>
    <col min="2299" max="2303" width="2" customWidth="1"/>
    <col min="2304" max="2304" width="2.28515625" customWidth="1"/>
    <col min="2305" max="2305" width="40.5703125" customWidth="1"/>
    <col min="2306" max="2307" width="3.5703125" customWidth="1"/>
    <col min="2308" max="2308" width="3.7109375" customWidth="1"/>
    <col min="2309" max="2309" width="3.42578125" customWidth="1"/>
    <col min="2310" max="2311" width="3.140625" customWidth="1"/>
    <col min="2312" max="2312" width="3.28515625" customWidth="1"/>
    <col min="2313" max="2313" width="3.5703125" customWidth="1"/>
    <col min="2479" max="2479" width="5.28515625" customWidth="1"/>
    <col min="2480" max="2480" width="39.5703125" customWidth="1"/>
    <col min="2481" max="2481" width="2.7109375" customWidth="1"/>
    <col min="2482" max="2483" width="2.5703125" bestFit="1" customWidth="1"/>
    <col min="2484" max="2484" width="2.5703125" customWidth="1"/>
    <col min="2485" max="2534" width="2.28515625" customWidth="1"/>
    <col min="2535" max="2539" width="2" customWidth="1"/>
    <col min="2540" max="2554" width="2.28515625" customWidth="1"/>
    <col min="2555" max="2559" width="2" customWidth="1"/>
    <col min="2560" max="2560" width="2.28515625" customWidth="1"/>
    <col min="2561" max="2561" width="40.5703125" customWidth="1"/>
    <col min="2562" max="2563" width="3.5703125" customWidth="1"/>
    <col min="2564" max="2564" width="3.7109375" customWidth="1"/>
    <col min="2565" max="2565" width="3.42578125" customWidth="1"/>
    <col min="2566" max="2567" width="3.140625" customWidth="1"/>
    <col min="2568" max="2568" width="3.28515625" customWidth="1"/>
    <col min="2569" max="2569" width="3.5703125" customWidth="1"/>
    <col min="2735" max="2735" width="5.28515625" customWidth="1"/>
    <col min="2736" max="2736" width="39.5703125" customWidth="1"/>
    <col min="2737" max="2737" width="2.7109375" customWidth="1"/>
    <col min="2738" max="2739" width="2.5703125" bestFit="1" customWidth="1"/>
    <col min="2740" max="2740" width="2.5703125" customWidth="1"/>
    <col min="2741" max="2790" width="2.28515625" customWidth="1"/>
    <col min="2791" max="2795" width="2" customWidth="1"/>
    <col min="2796" max="2810" width="2.28515625" customWidth="1"/>
    <col min="2811" max="2815" width="2" customWidth="1"/>
    <col min="2816" max="2816" width="2.28515625" customWidth="1"/>
    <col min="2817" max="2817" width="40.5703125" customWidth="1"/>
    <col min="2818" max="2819" width="3.5703125" customWidth="1"/>
    <col min="2820" max="2820" width="3.7109375" customWidth="1"/>
    <col min="2821" max="2821" width="3.42578125" customWidth="1"/>
    <col min="2822" max="2823" width="3.140625" customWidth="1"/>
    <col min="2824" max="2824" width="3.28515625" customWidth="1"/>
    <col min="2825" max="2825" width="3.5703125" customWidth="1"/>
    <col min="2991" max="2991" width="5.28515625" customWidth="1"/>
    <col min="2992" max="2992" width="39.5703125" customWidth="1"/>
    <col min="2993" max="2993" width="2.7109375" customWidth="1"/>
    <col min="2994" max="2995" width="2.5703125" bestFit="1" customWidth="1"/>
    <col min="2996" max="2996" width="2.5703125" customWidth="1"/>
    <col min="2997" max="3046" width="2.28515625" customWidth="1"/>
    <col min="3047" max="3051" width="2" customWidth="1"/>
    <col min="3052" max="3066" width="2.28515625" customWidth="1"/>
    <col min="3067" max="3071" width="2" customWidth="1"/>
    <col min="3072" max="3072" width="2.28515625" customWidth="1"/>
    <col min="3073" max="3073" width="40.5703125" customWidth="1"/>
    <col min="3074" max="3075" width="3.5703125" customWidth="1"/>
    <col min="3076" max="3076" width="3.7109375" customWidth="1"/>
    <col min="3077" max="3077" width="3.42578125" customWidth="1"/>
    <col min="3078" max="3079" width="3.140625" customWidth="1"/>
    <col min="3080" max="3080" width="3.28515625" customWidth="1"/>
    <col min="3081" max="3081" width="3.5703125" customWidth="1"/>
    <col min="3247" max="3247" width="5.28515625" customWidth="1"/>
    <col min="3248" max="3248" width="39.5703125" customWidth="1"/>
    <col min="3249" max="3249" width="2.7109375" customWidth="1"/>
    <col min="3250" max="3251" width="2.5703125" bestFit="1" customWidth="1"/>
    <col min="3252" max="3252" width="2.5703125" customWidth="1"/>
    <col min="3253" max="3302" width="2.28515625" customWidth="1"/>
    <col min="3303" max="3307" width="2" customWidth="1"/>
    <col min="3308" max="3322" width="2.28515625" customWidth="1"/>
    <col min="3323" max="3327" width="2" customWidth="1"/>
    <col min="3328" max="3328" width="2.28515625" customWidth="1"/>
    <col min="3329" max="3329" width="40.5703125" customWidth="1"/>
    <col min="3330" max="3331" width="3.5703125" customWidth="1"/>
    <col min="3332" max="3332" width="3.7109375" customWidth="1"/>
    <col min="3333" max="3333" width="3.42578125" customWidth="1"/>
    <col min="3334" max="3335" width="3.140625" customWidth="1"/>
    <col min="3336" max="3336" width="3.28515625" customWidth="1"/>
    <col min="3337" max="3337" width="3.5703125" customWidth="1"/>
    <col min="3503" max="3503" width="5.28515625" customWidth="1"/>
    <col min="3504" max="3504" width="39.5703125" customWidth="1"/>
    <col min="3505" max="3505" width="2.7109375" customWidth="1"/>
    <col min="3506" max="3507" width="2.5703125" bestFit="1" customWidth="1"/>
    <col min="3508" max="3508" width="2.5703125" customWidth="1"/>
    <col min="3509" max="3558" width="2.28515625" customWidth="1"/>
    <col min="3559" max="3563" width="2" customWidth="1"/>
    <col min="3564" max="3578" width="2.28515625" customWidth="1"/>
    <col min="3579" max="3583" width="2" customWidth="1"/>
    <col min="3584" max="3584" width="2.28515625" customWidth="1"/>
    <col min="3585" max="3585" width="40.5703125" customWidth="1"/>
    <col min="3586" max="3587" width="3.5703125" customWidth="1"/>
    <col min="3588" max="3588" width="3.7109375" customWidth="1"/>
    <col min="3589" max="3589" width="3.42578125" customWidth="1"/>
    <col min="3590" max="3591" width="3.140625" customWidth="1"/>
    <col min="3592" max="3592" width="3.28515625" customWidth="1"/>
    <col min="3593" max="3593" width="3.5703125" customWidth="1"/>
    <col min="3759" max="3759" width="5.28515625" customWidth="1"/>
    <col min="3760" max="3760" width="39.5703125" customWidth="1"/>
    <col min="3761" max="3761" width="2.7109375" customWidth="1"/>
    <col min="3762" max="3763" width="2.5703125" bestFit="1" customWidth="1"/>
    <col min="3764" max="3764" width="2.5703125" customWidth="1"/>
    <col min="3765" max="3814" width="2.28515625" customWidth="1"/>
    <col min="3815" max="3819" width="2" customWidth="1"/>
    <col min="3820" max="3834" width="2.28515625" customWidth="1"/>
    <col min="3835" max="3839" width="2" customWidth="1"/>
    <col min="3840" max="3840" width="2.28515625" customWidth="1"/>
    <col min="3841" max="3841" width="40.5703125" customWidth="1"/>
    <col min="3842" max="3843" width="3.5703125" customWidth="1"/>
    <col min="3844" max="3844" width="3.7109375" customWidth="1"/>
    <col min="3845" max="3845" width="3.42578125" customWidth="1"/>
    <col min="3846" max="3847" width="3.140625" customWidth="1"/>
    <col min="3848" max="3848" width="3.28515625" customWidth="1"/>
    <col min="3849" max="3849" width="3.5703125" customWidth="1"/>
    <col min="4015" max="4015" width="5.28515625" customWidth="1"/>
    <col min="4016" max="4016" width="39.5703125" customWidth="1"/>
    <col min="4017" max="4017" width="2.7109375" customWidth="1"/>
    <col min="4018" max="4019" width="2.5703125" bestFit="1" customWidth="1"/>
    <col min="4020" max="4020" width="2.5703125" customWidth="1"/>
    <col min="4021" max="4070" width="2.28515625" customWidth="1"/>
    <col min="4071" max="4075" width="2" customWidth="1"/>
    <col min="4076" max="4090" width="2.28515625" customWidth="1"/>
    <col min="4091" max="4095" width="2" customWidth="1"/>
    <col min="4096" max="4096" width="2.28515625" customWidth="1"/>
    <col min="4097" max="4097" width="40.5703125" customWidth="1"/>
    <col min="4098" max="4099" width="3.5703125" customWidth="1"/>
    <col min="4100" max="4100" width="3.7109375" customWidth="1"/>
    <col min="4101" max="4101" width="3.42578125" customWidth="1"/>
    <col min="4102" max="4103" width="3.140625" customWidth="1"/>
    <col min="4104" max="4104" width="3.28515625" customWidth="1"/>
    <col min="4105" max="4105" width="3.5703125" customWidth="1"/>
    <col min="4271" max="4271" width="5.28515625" customWidth="1"/>
    <col min="4272" max="4272" width="39.5703125" customWidth="1"/>
    <col min="4273" max="4273" width="2.7109375" customWidth="1"/>
    <col min="4274" max="4275" width="2.5703125" bestFit="1" customWidth="1"/>
    <col min="4276" max="4276" width="2.5703125" customWidth="1"/>
    <col min="4277" max="4326" width="2.28515625" customWidth="1"/>
    <col min="4327" max="4331" width="2" customWidth="1"/>
    <col min="4332" max="4346" width="2.28515625" customWidth="1"/>
    <col min="4347" max="4351" width="2" customWidth="1"/>
    <col min="4352" max="4352" width="2.28515625" customWidth="1"/>
    <col min="4353" max="4353" width="40.5703125" customWidth="1"/>
    <col min="4354" max="4355" width="3.5703125" customWidth="1"/>
    <col min="4356" max="4356" width="3.7109375" customWidth="1"/>
    <col min="4357" max="4357" width="3.42578125" customWidth="1"/>
    <col min="4358" max="4359" width="3.140625" customWidth="1"/>
    <col min="4360" max="4360" width="3.28515625" customWidth="1"/>
    <col min="4361" max="4361" width="3.5703125" customWidth="1"/>
    <col min="4527" max="4527" width="5.28515625" customWidth="1"/>
    <col min="4528" max="4528" width="39.5703125" customWidth="1"/>
    <col min="4529" max="4529" width="2.7109375" customWidth="1"/>
    <col min="4530" max="4531" width="2.5703125" bestFit="1" customWidth="1"/>
    <col min="4532" max="4532" width="2.5703125" customWidth="1"/>
    <col min="4533" max="4582" width="2.28515625" customWidth="1"/>
    <col min="4583" max="4587" width="2" customWidth="1"/>
    <col min="4588" max="4602" width="2.28515625" customWidth="1"/>
    <col min="4603" max="4607" width="2" customWidth="1"/>
    <col min="4608" max="4608" width="2.28515625" customWidth="1"/>
    <col min="4609" max="4609" width="40.5703125" customWidth="1"/>
    <col min="4610" max="4611" width="3.5703125" customWidth="1"/>
    <col min="4612" max="4612" width="3.7109375" customWidth="1"/>
    <col min="4613" max="4613" width="3.42578125" customWidth="1"/>
    <col min="4614" max="4615" width="3.140625" customWidth="1"/>
    <col min="4616" max="4616" width="3.28515625" customWidth="1"/>
    <col min="4617" max="4617" width="3.5703125" customWidth="1"/>
    <col min="4783" max="4783" width="5.28515625" customWidth="1"/>
    <col min="4784" max="4784" width="39.5703125" customWidth="1"/>
    <col min="4785" max="4785" width="2.7109375" customWidth="1"/>
    <col min="4786" max="4787" width="2.5703125" bestFit="1" customWidth="1"/>
    <col min="4788" max="4788" width="2.5703125" customWidth="1"/>
    <col min="4789" max="4838" width="2.28515625" customWidth="1"/>
    <col min="4839" max="4843" width="2" customWidth="1"/>
    <col min="4844" max="4858" width="2.28515625" customWidth="1"/>
    <col min="4859" max="4863" width="2" customWidth="1"/>
    <col min="4864" max="4864" width="2.28515625" customWidth="1"/>
    <col min="4865" max="4865" width="40.5703125" customWidth="1"/>
    <col min="4866" max="4867" width="3.5703125" customWidth="1"/>
    <col min="4868" max="4868" width="3.7109375" customWidth="1"/>
    <col min="4869" max="4869" width="3.42578125" customWidth="1"/>
    <col min="4870" max="4871" width="3.140625" customWidth="1"/>
    <col min="4872" max="4872" width="3.28515625" customWidth="1"/>
    <col min="4873" max="4873" width="3.5703125" customWidth="1"/>
    <col min="5039" max="5039" width="5.28515625" customWidth="1"/>
    <col min="5040" max="5040" width="39.5703125" customWidth="1"/>
    <col min="5041" max="5041" width="2.7109375" customWidth="1"/>
    <col min="5042" max="5043" width="2.5703125" bestFit="1" customWidth="1"/>
    <col min="5044" max="5044" width="2.5703125" customWidth="1"/>
    <col min="5045" max="5094" width="2.28515625" customWidth="1"/>
    <col min="5095" max="5099" width="2" customWidth="1"/>
    <col min="5100" max="5114" width="2.28515625" customWidth="1"/>
    <col min="5115" max="5119" width="2" customWidth="1"/>
    <col min="5120" max="5120" width="2.28515625" customWidth="1"/>
    <col min="5121" max="5121" width="40.5703125" customWidth="1"/>
    <col min="5122" max="5123" width="3.5703125" customWidth="1"/>
    <col min="5124" max="5124" width="3.7109375" customWidth="1"/>
    <col min="5125" max="5125" width="3.42578125" customWidth="1"/>
    <col min="5126" max="5127" width="3.140625" customWidth="1"/>
    <col min="5128" max="5128" width="3.28515625" customWidth="1"/>
    <col min="5129" max="5129" width="3.5703125" customWidth="1"/>
    <col min="5295" max="5295" width="5.28515625" customWidth="1"/>
    <col min="5296" max="5296" width="39.5703125" customWidth="1"/>
    <col min="5297" max="5297" width="2.7109375" customWidth="1"/>
    <col min="5298" max="5299" width="2.5703125" bestFit="1" customWidth="1"/>
    <col min="5300" max="5300" width="2.5703125" customWidth="1"/>
    <col min="5301" max="5350" width="2.28515625" customWidth="1"/>
    <col min="5351" max="5355" width="2" customWidth="1"/>
    <col min="5356" max="5370" width="2.28515625" customWidth="1"/>
    <col min="5371" max="5375" width="2" customWidth="1"/>
    <col min="5376" max="5376" width="2.28515625" customWidth="1"/>
    <col min="5377" max="5377" width="40.5703125" customWidth="1"/>
    <col min="5378" max="5379" width="3.5703125" customWidth="1"/>
    <col min="5380" max="5380" width="3.7109375" customWidth="1"/>
    <col min="5381" max="5381" width="3.42578125" customWidth="1"/>
    <col min="5382" max="5383" width="3.140625" customWidth="1"/>
    <col min="5384" max="5384" width="3.28515625" customWidth="1"/>
    <col min="5385" max="5385" width="3.5703125" customWidth="1"/>
    <col min="5551" max="5551" width="5.28515625" customWidth="1"/>
    <col min="5552" max="5552" width="39.5703125" customWidth="1"/>
    <col min="5553" max="5553" width="2.7109375" customWidth="1"/>
    <col min="5554" max="5555" width="2.5703125" bestFit="1" customWidth="1"/>
    <col min="5556" max="5556" width="2.5703125" customWidth="1"/>
    <col min="5557" max="5606" width="2.28515625" customWidth="1"/>
    <col min="5607" max="5611" width="2" customWidth="1"/>
    <col min="5612" max="5626" width="2.28515625" customWidth="1"/>
    <col min="5627" max="5631" width="2" customWidth="1"/>
    <col min="5632" max="5632" width="2.28515625" customWidth="1"/>
    <col min="5633" max="5633" width="40.5703125" customWidth="1"/>
    <col min="5634" max="5635" width="3.5703125" customWidth="1"/>
    <col min="5636" max="5636" width="3.7109375" customWidth="1"/>
    <col min="5637" max="5637" width="3.42578125" customWidth="1"/>
    <col min="5638" max="5639" width="3.140625" customWidth="1"/>
    <col min="5640" max="5640" width="3.28515625" customWidth="1"/>
    <col min="5641" max="5641" width="3.5703125" customWidth="1"/>
    <col min="5807" max="5807" width="5.28515625" customWidth="1"/>
    <col min="5808" max="5808" width="39.5703125" customWidth="1"/>
    <col min="5809" max="5809" width="2.7109375" customWidth="1"/>
    <col min="5810" max="5811" width="2.5703125" bestFit="1" customWidth="1"/>
    <col min="5812" max="5812" width="2.5703125" customWidth="1"/>
    <col min="5813" max="5862" width="2.28515625" customWidth="1"/>
    <col min="5863" max="5867" width="2" customWidth="1"/>
    <col min="5868" max="5882" width="2.28515625" customWidth="1"/>
    <col min="5883" max="5887" width="2" customWidth="1"/>
    <col min="5888" max="5888" width="2.28515625" customWidth="1"/>
    <col min="5889" max="5889" width="40.5703125" customWidth="1"/>
    <col min="5890" max="5891" width="3.5703125" customWidth="1"/>
    <col min="5892" max="5892" width="3.7109375" customWidth="1"/>
    <col min="5893" max="5893" width="3.42578125" customWidth="1"/>
    <col min="5894" max="5895" width="3.140625" customWidth="1"/>
    <col min="5896" max="5896" width="3.28515625" customWidth="1"/>
    <col min="5897" max="5897" width="3.5703125" customWidth="1"/>
    <col min="6063" max="6063" width="5.28515625" customWidth="1"/>
    <col min="6064" max="6064" width="39.5703125" customWidth="1"/>
    <col min="6065" max="6065" width="2.7109375" customWidth="1"/>
    <col min="6066" max="6067" width="2.5703125" bestFit="1" customWidth="1"/>
    <col min="6068" max="6068" width="2.5703125" customWidth="1"/>
    <col min="6069" max="6118" width="2.28515625" customWidth="1"/>
    <col min="6119" max="6123" width="2" customWidth="1"/>
    <col min="6124" max="6138" width="2.28515625" customWidth="1"/>
    <col min="6139" max="6143" width="2" customWidth="1"/>
    <col min="6144" max="6144" width="2.28515625" customWidth="1"/>
    <col min="6145" max="6145" width="40.5703125" customWidth="1"/>
    <col min="6146" max="6147" width="3.5703125" customWidth="1"/>
    <col min="6148" max="6148" width="3.7109375" customWidth="1"/>
    <col min="6149" max="6149" width="3.42578125" customWidth="1"/>
    <col min="6150" max="6151" width="3.140625" customWidth="1"/>
    <col min="6152" max="6152" width="3.28515625" customWidth="1"/>
    <col min="6153" max="6153" width="3.5703125" customWidth="1"/>
    <col min="6319" max="6319" width="5.28515625" customWidth="1"/>
    <col min="6320" max="6320" width="39.5703125" customWidth="1"/>
    <col min="6321" max="6321" width="2.7109375" customWidth="1"/>
    <col min="6322" max="6323" width="2.5703125" bestFit="1" customWidth="1"/>
    <col min="6324" max="6324" width="2.5703125" customWidth="1"/>
    <col min="6325" max="6374" width="2.28515625" customWidth="1"/>
    <col min="6375" max="6379" width="2" customWidth="1"/>
    <col min="6380" max="6394" width="2.28515625" customWidth="1"/>
    <col min="6395" max="6399" width="2" customWidth="1"/>
    <col min="6400" max="6400" width="2.28515625" customWidth="1"/>
    <col min="6401" max="6401" width="40.5703125" customWidth="1"/>
    <col min="6402" max="6403" width="3.5703125" customWidth="1"/>
    <col min="6404" max="6404" width="3.7109375" customWidth="1"/>
    <col min="6405" max="6405" width="3.42578125" customWidth="1"/>
    <col min="6406" max="6407" width="3.140625" customWidth="1"/>
    <col min="6408" max="6408" width="3.28515625" customWidth="1"/>
    <col min="6409" max="6409" width="3.5703125" customWidth="1"/>
    <col min="6575" max="6575" width="5.28515625" customWidth="1"/>
    <col min="6576" max="6576" width="39.5703125" customWidth="1"/>
    <col min="6577" max="6577" width="2.7109375" customWidth="1"/>
    <col min="6578" max="6579" width="2.5703125" bestFit="1" customWidth="1"/>
    <col min="6580" max="6580" width="2.5703125" customWidth="1"/>
    <col min="6581" max="6630" width="2.28515625" customWidth="1"/>
    <col min="6631" max="6635" width="2" customWidth="1"/>
    <col min="6636" max="6650" width="2.28515625" customWidth="1"/>
    <col min="6651" max="6655" width="2" customWidth="1"/>
    <col min="6656" max="6656" width="2.28515625" customWidth="1"/>
    <col min="6657" max="6657" width="40.5703125" customWidth="1"/>
    <col min="6658" max="6659" width="3.5703125" customWidth="1"/>
    <col min="6660" max="6660" width="3.7109375" customWidth="1"/>
    <col min="6661" max="6661" width="3.42578125" customWidth="1"/>
    <col min="6662" max="6663" width="3.140625" customWidth="1"/>
    <col min="6664" max="6664" width="3.28515625" customWidth="1"/>
    <col min="6665" max="6665" width="3.5703125" customWidth="1"/>
    <col min="6831" max="6831" width="5.28515625" customWidth="1"/>
    <col min="6832" max="6832" width="39.5703125" customWidth="1"/>
    <col min="6833" max="6833" width="2.7109375" customWidth="1"/>
    <col min="6834" max="6835" width="2.5703125" bestFit="1" customWidth="1"/>
    <col min="6836" max="6836" width="2.5703125" customWidth="1"/>
    <col min="6837" max="6886" width="2.28515625" customWidth="1"/>
    <col min="6887" max="6891" width="2" customWidth="1"/>
    <col min="6892" max="6906" width="2.28515625" customWidth="1"/>
    <col min="6907" max="6911" width="2" customWidth="1"/>
    <col min="6912" max="6912" width="2.28515625" customWidth="1"/>
    <col min="6913" max="6913" width="40.5703125" customWidth="1"/>
    <col min="6914" max="6915" width="3.5703125" customWidth="1"/>
    <col min="6916" max="6916" width="3.7109375" customWidth="1"/>
    <col min="6917" max="6917" width="3.42578125" customWidth="1"/>
    <col min="6918" max="6919" width="3.140625" customWidth="1"/>
    <col min="6920" max="6920" width="3.28515625" customWidth="1"/>
    <col min="6921" max="6921" width="3.5703125" customWidth="1"/>
    <col min="7087" max="7087" width="5.28515625" customWidth="1"/>
    <col min="7088" max="7088" width="39.5703125" customWidth="1"/>
    <col min="7089" max="7089" width="2.7109375" customWidth="1"/>
    <col min="7090" max="7091" width="2.5703125" bestFit="1" customWidth="1"/>
    <col min="7092" max="7092" width="2.5703125" customWidth="1"/>
    <col min="7093" max="7142" width="2.28515625" customWidth="1"/>
    <col min="7143" max="7147" width="2" customWidth="1"/>
    <col min="7148" max="7162" width="2.28515625" customWidth="1"/>
    <col min="7163" max="7167" width="2" customWidth="1"/>
    <col min="7168" max="7168" width="2.28515625" customWidth="1"/>
    <col min="7169" max="7169" width="40.5703125" customWidth="1"/>
    <col min="7170" max="7171" width="3.5703125" customWidth="1"/>
    <col min="7172" max="7172" width="3.7109375" customWidth="1"/>
    <col min="7173" max="7173" width="3.42578125" customWidth="1"/>
    <col min="7174" max="7175" width="3.140625" customWidth="1"/>
    <col min="7176" max="7176" width="3.28515625" customWidth="1"/>
    <col min="7177" max="7177" width="3.5703125" customWidth="1"/>
    <col min="7343" max="7343" width="5.28515625" customWidth="1"/>
    <col min="7344" max="7344" width="39.5703125" customWidth="1"/>
    <col min="7345" max="7345" width="2.7109375" customWidth="1"/>
    <col min="7346" max="7347" width="2.5703125" bestFit="1" customWidth="1"/>
    <col min="7348" max="7348" width="2.5703125" customWidth="1"/>
    <col min="7349" max="7398" width="2.28515625" customWidth="1"/>
    <col min="7399" max="7403" width="2" customWidth="1"/>
    <col min="7404" max="7418" width="2.28515625" customWidth="1"/>
    <col min="7419" max="7423" width="2" customWidth="1"/>
    <col min="7424" max="7424" width="2.28515625" customWidth="1"/>
    <col min="7425" max="7425" width="40.5703125" customWidth="1"/>
    <col min="7426" max="7427" width="3.5703125" customWidth="1"/>
    <col min="7428" max="7428" width="3.7109375" customWidth="1"/>
    <col min="7429" max="7429" width="3.42578125" customWidth="1"/>
    <col min="7430" max="7431" width="3.140625" customWidth="1"/>
    <col min="7432" max="7432" width="3.28515625" customWidth="1"/>
    <col min="7433" max="7433" width="3.5703125" customWidth="1"/>
    <col min="7599" max="7599" width="5.28515625" customWidth="1"/>
    <col min="7600" max="7600" width="39.5703125" customWidth="1"/>
    <col min="7601" max="7601" width="2.7109375" customWidth="1"/>
    <col min="7602" max="7603" width="2.5703125" bestFit="1" customWidth="1"/>
    <col min="7604" max="7604" width="2.5703125" customWidth="1"/>
    <col min="7605" max="7654" width="2.28515625" customWidth="1"/>
    <col min="7655" max="7659" width="2" customWidth="1"/>
    <col min="7660" max="7674" width="2.28515625" customWidth="1"/>
    <col min="7675" max="7679" width="2" customWidth="1"/>
    <col min="7680" max="7680" width="2.28515625" customWidth="1"/>
    <col min="7681" max="7681" width="40.5703125" customWidth="1"/>
    <col min="7682" max="7683" width="3.5703125" customWidth="1"/>
    <col min="7684" max="7684" width="3.7109375" customWidth="1"/>
    <col min="7685" max="7685" width="3.42578125" customWidth="1"/>
    <col min="7686" max="7687" width="3.140625" customWidth="1"/>
    <col min="7688" max="7688" width="3.28515625" customWidth="1"/>
    <col min="7689" max="7689" width="3.5703125" customWidth="1"/>
    <col min="7855" max="7855" width="5.28515625" customWidth="1"/>
    <col min="7856" max="7856" width="39.5703125" customWidth="1"/>
    <col min="7857" max="7857" width="2.7109375" customWidth="1"/>
    <col min="7858" max="7859" width="2.5703125" bestFit="1" customWidth="1"/>
    <col min="7860" max="7860" width="2.5703125" customWidth="1"/>
    <col min="7861" max="7910" width="2.28515625" customWidth="1"/>
    <col min="7911" max="7915" width="2" customWidth="1"/>
    <col min="7916" max="7930" width="2.28515625" customWidth="1"/>
    <col min="7931" max="7935" width="2" customWidth="1"/>
    <col min="7936" max="7936" width="2.28515625" customWidth="1"/>
    <col min="7937" max="7937" width="40.5703125" customWidth="1"/>
    <col min="7938" max="7939" width="3.5703125" customWidth="1"/>
    <col min="7940" max="7940" width="3.7109375" customWidth="1"/>
    <col min="7941" max="7941" width="3.42578125" customWidth="1"/>
    <col min="7942" max="7943" width="3.140625" customWidth="1"/>
    <col min="7944" max="7944" width="3.28515625" customWidth="1"/>
    <col min="7945" max="7945" width="3.5703125" customWidth="1"/>
    <col min="8111" max="8111" width="5.28515625" customWidth="1"/>
    <col min="8112" max="8112" width="39.5703125" customWidth="1"/>
    <col min="8113" max="8113" width="2.7109375" customWidth="1"/>
    <col min="8114" max="8115" width="2.5703125" bestFit="1" customWidth="1"/>
    <col min="8116" max="8116" width="2.5703125" customWidth="1"/>
    <col min="8117" max="8166" width="2.28515625" customWidth="1"/>
    <col min="8167" max="8171" width="2" customWidth="1"/>
    <col min="8172" max="8186" width="2.28515625" customWidth="1"/>
    <col min="8187" max="8191" width="2" customWidth="1"/>
    <col min="8192" max="8192" width="2.28515625" customWidth="1"/>
    <col min="8193" max="8193" width="40.5703125" customWidth="1"/>
    <col min="8194" max="8195" width="3.5703125" customWidth="1"/>
    <col min="8196" max="8196" width="3.7109375" customWidth="1"/>
    <col min="8197" max="8197" width="3.42578125" customWidth="1"/>
    <col min="8198" max="8199" width="3.140625" customWidth="1"/>
    <col min="8200" max="8200" width="3.28515625" customWidth="1"/>
    <col min="8201" max="8201" width="3.5703125" customWidth="1"/>
    <col min="8367" max="8367" width="5.28515625" customWidth="1"/>
    <col min="8368" max="8368" width="39.5703125" customWidth="1"/>
    <col min="8369" max="8369" width="2.7109375" customWidth="1"/>
    <col min="8370" max="8371" width="2.5703125" bestFit="1" customWidth="1"/>
    <col min="8372" max="8372" width="2.5703125" customWidth="1"/>
    <col min="8373" max="8422" width="2.28515625" customWidth="1"/>
    <col min="8423" max="8427" width="2" customWidth="1"/>
    <col min="8428" max="8442" width="2.28515625" customWidth="1"/>
    <col min="8443" max="8447" width="2" customWidth="1"/>
    <col min="8448" max="8448" width="2.28515625" customWidth="1"/>
    <col min="8449" max="8449" width="40.5703125" customWidth="1"/>
    <col min="8450" max="8451" width="3.5703125" customWidth="1"/>
    <col min="8452" max="8452" width="3.7109375" customWidth="1"/>
    <col min="8453" max="8453" width="3.42578125" customWidth="1"/>
    <col min="8454" max="8455" width="3.140625" customWidth="1"/>
    <col min="8456" max="8456" width="3.28515625" customWidth="1"/>
    <col min="8457" max="8457" width="3.5703125" customWidth="1"/>
    <col min="8623" max="8623" width="5.28515625" customWidth="1"/>
    <col min="8624" max="8624" width="39.5703125" customWidth="1"/>
    <col min="8625" max="8625" width="2.7109375" customWidth="1"/>
    <col min="8626" max="8627" width="2.5703125" bestFit="1" customWidth="1"/>
    <col min="8628" max="8628" width="2.5703125" customWidth="1"/>
    <col min="8629" max="8678" width="2.28515625" customWidth="1"/>
    <col min="8679" max="8683" width="2" customWidth="1"/>
    <col min="8684" max="8698" width="2.28515625" customWidth="1"/>
    <col min="8699" max="8703" width="2" customWidth="1"/>
    <col min="8704" max="8704" width="2.28515625" customWidth="1"/>
    <col min="8705" max="8705" width="40.5703125" customWidth="1"/>
    <col min="8706" max="8707" width="3.5703125" customWidth="1"/>
    <col min="8708" max="8708" width="3.7109375" customWidth="1"/>
    <col min="8709" max="8709" width="3.42578125" customWidth="1"/>
    <col min="8710" max="8711" width="3.140625" customWidth="1"/>
    <col min="8712" max="8712" width="3.28515625" customWidth="1"/>
    <col min="8713" max="8713" width="3.5703125" customWidth="1"/>
    <col min="8879" max="8879" width="5.28515625" customWidth="1"/>
    <col min="8880" max="8880" width="39.5703125" customWidth="1"/>
    <col min="8881" max="8881" width="2.7109375" customWidth="1"/>
    <col min="8882" max="8883" width="2.5703125" bestFit="1" customWidth="1"/>
    <col min="8884" max="8884" width="2.5703125" customWidth="1"/>
    <col min="8885" max="8934" width="2.28515625" customWidth="1"/>
    <col min="8935" max="8939" width="2" customWidth="1"/>
    <col min="8940" max="8954" width="2.28515625" customWidth="1"/>
    <col min="8955" max="8959" width="2" customWidth="1"/>
    <col min="8960" max="8960" width="2.28515625" customWidth="1"/>
    <col min="8961" max="8961" width="40.5703125" customWidth="1"/>
    <col min="8962" max="8963" width="3.5703125" customWidth="1"/>
    <col min="8964" max="8964" width="3.7109375" customWidth="1"/>
    <col min="8965" max="8965" width="3.42578125" customWidth="1"/>
    <col min="8966" max="8967" width="3.140625" customWidth="1"/>
    <col min="8968" max="8968" width="3.28515625" customWidth="1"/>
    <col min="8969" max="8969" width="3.5703125" customWidth="1"/>
    <col min="9135" max="9135" width="5.28515625" customWidth="1"/>
    <col min="9136" max="9136" width="39.5703125" customWidth="1"/>
    <col min="9137" max="9137" width="2.7109375" customWidth="1"/>
    <col min="9138" max="9139" width="2.5703125" bestFit="1" customWidth="1"/>
    <col min="9140" max="9140" width="2.5703125" customWidth="1"/>
    <col min="9141" max="9190" width="2.28515625" customWidth="1"/>
    <col min="9191" max="9195" width="2" customWidth="1"/>
    <col min="9196" max="9210" width="2.28515625" customWidth="1"/>
    <col min="9211" max="9215" width="2" customWidth="1"/>
    <col min="9216" max="9216" width="2.28515625" customWidth="1"/>
    <col min="9217" max="9217" width="40.5703125" customWidth="1"/>
    <col min="9218" max="9219" width="3.5703125" customWidth="1"/>
    <col min="9220" max="9220" width="3.7109375" customWidth="1"/>
    <col min="9221" max="9221" width="3.42578125" customWidth="1"/>
    <col min="9222" max="9223" width="3.140625" customWidth="1"/>
    <col min="9224" max="9224" width="3.28515625" customWidth="1"/>
    <col min="9225" max="9225" width="3.5703125" customWidth="1"/>
    <col min="9391" max="9391" width="5.28515625" customWidth="1"/>
    <col min="9392" max="9392" width="39.5703125" customWidth="1"/>
    <col min="9393" max="9393" width="2.7109375" customWidth="1"/>
    <col min="9394" max="9395" width="2.5703125" bestFit="1" customWidth="1"/>
    <col min="9396" max="9396" width="2.5703125" customWidth="1"/>
    <col min="9397" max="9446" width="2.28515625" customWidth="1"/>
    <col min="9447" max="9451" width="2" customWidth="1"/>
    <col min="9452" max="9466" width="2.28515625" customWidth="1"/>
    <col min="9467" max="9471" width="2" customWidth="1"/>
    <col min="9472" max="9472" width="2.28515625" customWidth="1"/>
    <col min="9473" max="9473" width="40.5703125" customWidth="1"/>
    <col min="9474" max="9475" width="3.5703125" customWidth="1"/>
    <col min="9476" max="9476" width="3.7109375" customWidth="1"/>
    <col min="9477" max="9477" width="3.42578125" customWidth="1"/>
    <col min="9478" max="9479" width="3.140625" customWidth="1"/>
    <col min="9480" max="9480" width="3.28515625" customWidth="1"/>
    <col min="9481" max="9481" width="3.5703125" customWidth="1"/>
    <col min="9647" max="9647" width="5.28515625" customWidth="1"/>
    <col min="9648" max="9648" width="39.5703125" customWidth="1"/>
    <col min="9649" max="9649" width="2.7109375" customWidth="1"/>
    <col min="9650" max="9651" width="2.5703125" bestFit="1" customWidth="1"/>
    <col min="9652" max="9652" width="2.5703125" customWidth="1"/>
    <col min="9653" max="9702" width="2.28515625" customWidth="1"/>
    <col min="9703" max="9707" width="2" customWidth="1"/>
    <col min="9708" max="9722" width="2.28515625" customWidth="1"/>
    <col min="9723" max="9727" width="2" customWidth="1"/>
    <col min="9728" max="9728" width="2.28515625" customWidth="1"/>
    <col min="9729" max="9729" width="40.5703125" customWidth="1"/>
    <col min="9730" max="9731" width="3.5703125" customWidth="1"/>
    <col min="9732" max="9732" width="3.7109375" customWidth="1"/>
    <col min="9733" max="9733" width="3.42578125" customWidth="1"/>
    <col min="9734" max="9735" width="3.140625" customWidth="1"/>
    <col min="9736" max="9736" width="3.28515625" customWidth="1"/>
    <col min="9737" max="9737" width="3.5703125" customWidth="1"/>
    <col min="9903" max="9903" width="5.28515625" customWidth="1"/>
    <col min="9904" max="9904" width="39.5703125" customWidth="1"/>
    <col min="9905" max="9905" width="2.7109375" customWidth="1"/>
    <col min="9906" max="9907" width="2.5703125" bestFit="1" customWidth="1"/>
    <col min="9908" max="9908" width="2.5703125" customWidth="1"/>
    <col min="9909" max="9958" width="2.28515625" customWidth="1"/>
    <col min="9959" max="9963" width="2" customWidth="1"/>
    <col min="9964" max="9978" width="2.28515625" customWidth="1"/>
    <col min="9979" max="9983" width="2" customWidth="1"/>
    <col min="9984" max="9984" width="2.28515625" customWidth="1"/>
    <col min="9985" max="9985" width="40.5703125" customWidth="1"/>
    <col min="9986" max="9987" width="3.5703125" customWidth="1"/>
    <col min="9988" max="9988" width="3.7109375" customWidth="1"/>
    <col min="9989" max="9989" width="3.42578125" customWidth="1"/>
    <col min="9990" max="9991" width="3.140625" customWidth="1"/>
    <col min="9992" max="9992" width="3.28515625" customWidth="1"/>
    <col min="9993" max="9993" width="3.5703125" customWidth="1"/>
    <col min="10159" max="10159" width="5.28515625" customWidth="1"/>
    <col min="10160" max="10160" width="39.5703125" customWidth="1"/>
    <col min="10161" max="10161" width="2.7109375" customWidth="1"/>
    <col min="10162" max="10163" width="2.5703125" bestFit="1" customWidth="1"/>
    <col min="10164" max="10164" width="2.5703125" customWidth="1"/>
    <col min="10165" max="10214" width="2.28515625" customWidth="1"/>
    <col min="10215" max="10219" width="2" customWidth="1"/>
    <col min="10220" max="10234" width="2.28515625" customWidth="1"/>
    <col min="10235" max="10239" width="2" customWidth="1"/>
    <col min="10240" max="10240" width="2.28515625" customWidth="1"/>
    <col min="10241" max="10241" width="40.5703125" customWidth="1"/>
    <col min="10242" max="10243" width="3.5703125" customWidth="1"/>
    <col min="10244" max="10244" width="3.7109375" customWidth="1"/>
    <col min="10245" max="10245" width="3.42578125" customWidth="1"/>
    <col min="10246" max="10247" width="3.140625" customWidth="1"/>
    <col min="10248" max="10248" width="3.28515625" customWidth="1"/>
    <col min="10249" max="10249" width="3.5703125" customWidth="1"/>
    <col min="10415" max="10415" width="5.28515625" customWidth="1"/>
    <col min="10416" max="10416" width="39.5703125" customWidth="1"/>
    <col min="10417" max="10417" width="2.7109375" customWidth="1"/>
    <col min="10418" max="10419" width="2.5703125" bestFit="1" customWidth="1"/>
    <col min="10420" max="10420" width="2.5703125" customWidth="1"/>
    <col min="10421" max="10470" width="2.28515625" customWidth="1"/>
    <col min="10471" max="10475" width="2" customWidth="1"/>
    <col min="10476" max="10490" width="2.28515625" customWidth="1"/>
    <col min="10491" max="10495" width="2" customWidth="1"/>
    <col min="10496" max="10496" width="2.28515625" customWidth="1"/>
    <col min="10497" max="10497" width="40.5703125" customWidth="1"/>
    <col min="10498" max="10499" width="3.5703125" customWidth="1"/>
    <col min="10500" max="10500" width="3.7109375" customWidth="1"/>
    <col min="10501" max="10501" width="3.42578125" customWidth="1"/>
    <col min="10502" max="10503" width="3.140625" customWidth="1"/>
    <col min="10504" max="10504" width="3.28515625" customWidth="1"/>
    <col min="10505" max="10505" width="3.5703125" customWidth="1"/>
    <col min="10671" max="10671" width="5.28515625" customWidth="1"/>
    <col min="10672" max="10672" width="39.5703125" customWidth="1"/>
    <col min="10673" max="10673" width="2.7109375" customWidth="1"/>
    <col min="10674" max="10675" width="2.5703125" bestFit="1" customWidth="1"/>
    <col min="10676" max="10676" width="2.5703125" customWidth="1"/>
    <col min="10677" max="10726" width="2.28515625" customWidth="1"/>
    <col min="10727" max="10731" width="2" customWidth="1"/>
    <col min="10732" max="10746" width="2.28515625" customWidth="1"/>
    <col min="10747" max="10751" width="2" customWidth="1"/>
    <col min="10752" max="10752" width="2.28515625" customWidth="1"/>
    <col min="10753" max="10753" width="40.5703125" customWidth="1"/>
    <col min="10754" max="10755" width="3.5703125" customWidth="1"/>
    <col min="10756" max="10756" width="3.7109375" customWidth="1"/>
    <col min="10757" max="10757" width="3.42578125" customWidth="1"/>
    <col min="10758" max="10759" width="3.140625" customWidth="1"/>
    <col min="10760" max="10760" width="3.28515625" customWidth="1"/>
    <col min="10761" max="10761" width="3.5703125" customWidth="1"/>
    <col min="10927" max="10927" width="5.28515625" customWidth="1"/>
    <col min="10928" max="10928" width="39.5703125" customWidth="1"/>
    <col min="10929" max="10929" width="2.7109375" customWidth="1"/>
    <col min="10930" max="10931" width="2.5703125" bestFit="1" customWidth="1"/>
    <col min="10932" max="10932" width="2.5703125" customWidth="1"/>
    <col min="10933" max="10982" width="2.28515625" customWidth="1"/>
    <col min="10983" max="10987" width="2" customWidth="1"/>
    <col min="10988" max="11002" width="2.28515625" customWidth="1"/>
    <col min="11003" max="11007" width="2" customWidth="1"/>
    <col min="11008" max="11008" width="2.28515625" customWidth="1"/>
    <col min="11009" max="11009" width="40.5703125" customWidth="1"/>
    <col min="11010" max="11011" width="3.5703125" customWidth="1"/>
    <col min="11012" max="11012" width="3.7109375" customWidth="1"/>
    <col min="11013" max="11013" width="3.42578125" customWidth="1"/>
    <col min="11014" max="11015" width="3.140625" customWidth="1"/>
    <col min="11016" max="11016" width="3.28515625" customWidth="1"/>
    <col min="11017" max="11017" width="3.5703125" customWidth="1"/>
    <col min="11183" max="11183" width="5.28515625" customWidth="1"/>
    <col min="11184" max="11184" width="39.5703125" customWidth="1"/>
    <col min="11185" max="11185" width="2.7109375" customWidth="1"/>
    <col min="11186" max="11187" width="2.5703125" bestFit="1" customWidth="1"/>
    <col min="11188" max="11188" width="2.5703125" customWidth="1"/>
    <col min="11189" max="11238" width="2.28515625" customWidth="1"/>
    <col min="11239" max="11243" width="2" customWidth="1"/>
    <col min="11244" max="11258" width="2.28515625" customWidth="1"/>
    <col min="11259" max="11263" width="2" customWidth="1"/>
    <col min="11264" max="11264" width="2.28515625" customWidth="1"/>
    <col min="11265" max="11265" width="40.5703125" customWidth="1"/>
    <col min="11266" max="11267" width="3.5703125" customWidth="1"/>
    <col min="11268" max="11268" width="3.7109375" customWidth="1"/>
    <col min="11269" max="11269" width="3.42578125" customWidth="1"/>
    <col min="11270" max="11271" width="3.140625" customWidth="1"/>
    <col min="11272" max="11272" width="3.28515625" customWidth="1"/>
    <col min="11273" max="11273" width="3.5703125" customWidth="1"/>
    <col min="11439" max="11439" width="5.28515625" customWidth="1"/>
    <col min="11440" max="11440" width="39.5703125" customWidth="1"/>
    <col min="11441" max="11441" width="2.7109375" customWidth="1"/>
    <col min="11442" max="11443" width="2.5703125" bestFit="1" customWidth="1"/>
    <col min="11444" max="11444" width="2.5703125" customWidth="1"/>
    <col min="11445" max="11494" width="2.28515625" customWidth="1"/>
    <col min="11495" max="11499" width="2" customWidth="1"/>
    <col min="11500" max="11514" width="2.28515625" customWidth="1"/>
    <col min="11515" max="11519" width="2" customWidth="1"/>
    <col min="11520" max="11520" width="2.28515625" customWidth="1"/>
    <col min="11521" max="11521" width="40.5703125" customWidth="1"/>
    <col min="11522" max="11523" width="3.5703125" customWidth="1"/>
    <col min="11524" max="11524" width="3.7109375" customWidth="1"/>
    <col min="11525" max="11525" width="3.42578125" customWidth="1"/>
    <col min="11526" max="11527" width="3.140625" customWidth="1"/>
    <col min="11528" max="11528" width="3.28515625" customWidth="1"/>
    <col min="11529" max="11529" width="3.5703125" customWidth="1"/>
    <col min="11695" max="11695" width="5.28515625" customWidth="1"/>
    <col min="11696" max="11696" width="39.5703125" customWidth="1"/>
    <col min="11697" max="11697" width="2.7109375" customWidth="1"/>
    <col min="11698" max="11699" width="2.5703125" bestFit="1" customWidth="1"/>
    <col min="11700" max="11700" width="2.5703125" customWidth="1"/>
    <col min="11701" max="11750" width="2.28515625" customWidth="1"/>
    <col min="11751" max="11755" width="2" customWidth="1"/>
    <col min="11756" max="11770" width="2.28515625" customWidth="1"/>
    <col min="11771" max="11775" width="2" customWidth="1"/>
    <col min="11776" max="11776" width="2.28515625" customWidth="1"/>
    <col min="11777" max="11777" width="40.5703125" customWidth="1"/>
    <col min="11778" max="11779" width="3.5703125" customWidth="1"/>
    <col min="11780" max="11780" width="3.7109375" customWidth="1"/>
    <col min="11781" max="11781" width="3.42578125" customWidth="1"/>
    <col min="11782" max="11783" width="3.140625" customWidth="1"/>
    <col min="11784" max="11784" width="3.28515625" customWidth="1"/>
    <col min="11785" max="11785" width="3.5703125" customWidth="1"/>
    <col min="11951" max="11951" width="5.28515625" customWidth="1"/>
    <col min="11952" max="11952" width="39.5703125" customWidth="1"/>
    <col min="11953" max="11953" width="2.7109375" customWidth="1"/>
    <col min="11954" max="11955" width="2.5703125" bestFit="1" customWidth="1"/>
    <col min="11956" max="11956" width="2.5703125" customWidth="1"/>
    <col min="11957" max="12006" width="2.28515625" customWidth="1"/>
    <col min="12007" max="12011" width="2" customWidth="1"/>
    <col min="12012" max="12026" width="2.28515625" customWidth="1"/>
    <col min="12027" max="12031" width="2" customWidth="1"/>
    <col min="12032" max="12032" width="2.28515625" customWidth="1"/>
    <col min="12033" max="12033" width="40.5703125" customWidth="1"/>
    <col min="12034" max="12035" width="3.5703125" customWidth="1"/>
    <col min="12036" max="12036" width="3.7109375" customWidth="1"/>
    <col min="12037" max="12037" width="3.42578125" customWidth="1"/>
    <col min="12038" max="12039" width="3.140625" customWidth="1"/>
    <col min="12040" max="12040" width="3.28515625" customWidth="1"/>
    <col min="12041" max="12041" width="3.5703125" customWidth="1"/>
    <col min="12207" max="12207" width="5.28515625" customWidth="1"/>
    <col min="12208" max="12208" width="39.5703125" customWidth="1"/>
    <col min="12209" max="12209" width="2.7109375" customWidth="1"/>
    <col min="12210" max="12211" width="2.5703125" bestFit="1" customWidth="1"/>
    <col min="12212" max="12212" width="2.5703125" customWidth="1"/>
    <col min="12213" max="12262" width="2.28515625" customWidth="1"/>
    <col min="12263" max="12267" width="2" customWidth="1"/>
    <col min="12268" max="12282" width="2.28515625" customWidth="1"/>
    <col min="12283" max="12287" width="2" customWidth="1"/>
    <col min="12288" max="12288" width="2.28515625" customWidth="1"/>
    <col min="12289" max="12289" width="40.5703125" customWidth="1"/>
    <col min="12290" max="12291" width="3.5703125" customWidth="1"/>
    <col min="12292" max="12292" width="3.7109375" customWidth="1"/>
    <col min="12293" max="12293" width="3.42578125" customWidth="1"/>
    <col min="12294" max="12295" width="3.140625" customWidth="1"/>
    <col min="12296" max="12296" width="3.28515625" customWidth="1"/>
    <col min="12297" max="12297" width="3.5703125" customWidth="1"/>
    <col min="12463" max="12463" width="5.28515625" customWidth="1"/>
    <col min="12464" max="12464" width="39.5703125" customWidth="1"/>
    <col min="12465" max="12465" width="2.7109375" customWidth="1"/>
    <col min="12466" max="12467" width="2.5703125" bestFit="1" customWidth="1"/>
    <col min="12468" max="12468" width="2.5703125" customWidth="1"/>
    <col min="12469" max="12518" width="2.28515625" customWidth="1"/>
    <col min="12519" max="12523" width="2" customWidth="1"/>
    <col min="12524" max="12538" width="2.28515625" customWidth="1"/>
    <col min="12539" max="12543" width="2" customWidth="1"/>
    <col min="12544" max="12544" width="2.28515625" customWidth="1"/>
    <col min="12545" max="12545" width="40.5703125" customWidth="1"/>
    <col min="12546" max="12547" width="3.5703125" customWidth="1"/>
    <col min="12548" max="12548" width="3.7109375" customWidth="1"/>
    <col min="12549" max="12549" width="3.42578125" customWidth="1"/>
    <col min="12550" max="12551" width="3.140625" customWidth="1"/>
    <col min="12552" max="12552" width="3.28515625" customWidth="1"/>
    <col min="12553" max="12553" width="3.5703125" customWidth="1"/>
    <col min="12719" max="12719" width="5.28515625" customWidth="1"/>
    <col min="12720" max="12720" width="39.5703125" customWidth="1"/>
    <col min="12721" max="12721" width="2.7109375" customWidth="1"/>
    <col min="12722" max="12723" width="2.5703125" bestFit="1" customWidth="1"/>
    <col min="12724" max="12724" width="2.5703125" customWidth="1"/>
    <col min="12725" max="12774" width="2.28515625" customWidth="1"/>
    <col min="12775" max="12779" width="2" customWidth="1"/>
    <col min="12780" max="12794" width="2.28515625" customWidth="1"/>
    <col min="12795" max="12799" width="2" customWidth="1"/>
    <col min="12800" max="12800" width="2.28515625" customWidth="1"/>
    <col min="12801" max="12801" width="40.5703125" customWidth="1"/>
    <col min="12802" max="12803" width="3.5703125" customWidth="1"/>
    <col min="12804" max="12804" width="3.7109375" customWidth="1"/>
    <col min="12805" max="12805" width="3.42578125" customWidth="1"/>
    <col min="12806" max="12807" width="3.140625" customWidth="1"/>
    <col min="12808" max="12808" width="3.28515625" customWidth="1"/>
    <col min="12809" max="12809" width="3.5703125" customWidth="1"/>
    <col min="12975" max="12975" width="5.28515625" customWidth="1"/>
    <col min="12976" max="12976" width="39.5703125" customWidth="1"/>
    <col min="12977" max="12977" width="2.7109375" customWidth="1"/>
    <col min="12978" max="12979" width="2.5703125" bestFit="1" customWidth="1"/>
    <col min="12980" max="12980" width="2.5703125" customWidth="1"/>
    <col min="12981" max="13030" width="2.28515625" customWidth="1"/>
    <col min="13031" max="13035" width="2" customWidth="1"/>
    <col min="13036" max="13050" width="2.28515625" customWidth="1"/>
    <col min="13051" max="13055" width="2" customWidth="1"/>
    <col min="13056" max="13056" width="2.28515625" customWidth="1"/>
    <col min="13057" max="13057" width="40.5703125" customWidth="1"/>
    <col min="13058" max="13059" width="3.5703125" customWidth="1"/>
    <col min="13060" max="13060" width="3.7109375" customWidth="1"/>
    <col min="13061" max="13061" width="3.42578125" customWidth="1"/>
    <col min="13062" max="13063" width="3.140625" customWidth="1"/>
    <col min="13064" max="13064" width="3.28515625" customWidth="1"/>
    <col min="13065" max="13065" width="3.5703125" customWidth="1"/>
    <col min="13231" max="13231" width="5.28515625" customWidth="1"/>
    <col min="13232" max="13232" width="39.5703125" customWidth="1"/>
    <col min="13233" max="13233" width="2.7109375" customWidth="1"/>
    <col min="13234" max="13235" width="2.5703125" bestFit="1" customWidth="1"/>
    <col min="13236" max="13236" width="2.5703125" customWidth="1"/>
    <col min="13237" max="13286" width="2.28515625" customWidth="1"/>
    <col min="13287" max="13291" width="2" customWidth="1"/>
    <col min="13292" max="13306" width="2.28515625" customWidth="1"/>
    <col min="13307" max="13311" width="2" customWidth="1"/>
    <col min="13312" max="13312" width="2.28515625" customWidth="1"/>
    <col min="13313" max="13313" width="40.5703125" customWidth="1"/>
    <col min="13314" max="13315" width="3.5703125" customWidth="1"/>
    <col min="13316" max="13316" width="3.7109375" customWidth="1"/>
    <col min="13317" max="13317" width="3.42578125" customWidth="1"/>
    <col min="13318" max="13319" width="3.140625" customWidth="1"/>
    <col min="13320" max="13320" width="3.28515625" customWidth="1"/>
    <col min="13321" max="13321" width="3.5703125" customWidth="1"/>
    <col min="13487" max="13487" width="5.28515625" customWidth="1"/>
    <col min="13488" max="13488" width="39.5703125" customWidth="1"/>
    <col min="13489" max="13489" width="2.7109375" customWidth="1"/>
    <col min="13490" max="13491" width="2.5703125" bestFit="1" customWidth="1"/>
    <col min="13492" max="13492" width="2.5703125" customWidth="1"/>
    <col min="13493" max="13542" width="2.28515625" customWidth="1"/>
    <col min="13543" max="13547" width="2" customWidth="1"/>
    <col min="13548" max="13562" width="2.28515625" customWidth="1"/>
    <col min="13563" max="13567" width="2" customWidth="1"/>
    <col min="13568" max="13568" width="2.28515625" customWidth="1"/>
    <col min="13569" max="13569" width="40.5703125" customWidth="1"/>
    <col min="13570" max="13571" width="3.5703125" customWidth="1"/>
    <col min="13572" max="13572" width="3.7109375" customWidth="1"/>
    <col min="13573" max="13573" width="3.42578125" customWidth="1"/>
    <col min="13574" max="13575" width="3.140625" customWidth="1"/>
    <col min="13576" max="13576" width="3.28515625" customWidth="1"/>
    <col min="13577" max="13577" width="3.5703125" customWidth="1"/>
    <col min="13743" max="13743" width="5.28515625" customWidth="1"/>
    <col min="13744" max="13744" width="39.5703125" customWidth="1"/>
    <col min="13745" max="13745" width="2.7109375" customWidth="1"/>
    <col min="13746" max="13747" width="2.5703125" bestFit="1" customWidth="1"/>
    <col min="13748" max="13748" width="2.5703125" customWidth="1"/>
    <col min="13749" max="13798" width="2.28515625" customWidth="1"/>
    <col min="13799" max="13803" width="2" customWidth="1"/>
    <col min="13804" max="13818" width="2.28515625" customWidth="1"/>
    <col min="13819" max="13823" width="2" customWidth="1"/>
    <col min="13824" max="13824" width="2.28515625" customWidth="1"/>
    <col min="13825" max="13825" width="40.5703125" customWidth="1"/>
    <col min="13826" max="13827" width="3.5703125" customWidth="1"/>
    <col min="13828" max="13828" width="3.7109375" customWidth="1"/>
    <col min="13829" max="13829" width="3.42578125" customWidth="1"/>
    <col min="13830" max="13831" width="3.140625" customWidth="1"/>
    <col min="13832" max="13832" width="3.28515625" customWidth="1"/>
    <col min="13833" max="13833" width="3.5703125" customWidth="1"/>
    <col min="13999" max="13999" width="5.28515625" customWidth="1"/>
    <col min="14000" max="14000" width="39.5703125" customWidth="1"/>
    <col min="14001" max="14001" width="2.7109375" customWidth="1"/>
    <col min="14002" max="14003" width="2.5703125" bestFit="1" customWidth="1"/>
    <col min="14004" max="14004" width="2.5703125" customWidth="1"/>
    <col min="14005" max="14054" width="2.28515625" customWidth="1"/>
    <col min="14055" max="14059" width="2" customWidth="1"/>
    <col min="14060" max="14074" width="2.28515625" customWidth="1"/>
    <col min="14075" max="14079" width="2" customWidth="1"/>
    <col min="14080" max="14080" width="2.28515625" customWidth="1"/>
    <col min="14081" max="14081" width="40.5703125" customWidth="1"/>
    <col min="14082" max="14083" width="3.5703125" customWidth="1"/>
    <col min="14084" max="14084" width="3.7109375" customWidth="1"/>
    <col min="14085" max="14085" width="3.42578125" customWidth="1"/>
    <col min="14086" max="14087" width="3.140625" customWidth="1"/>
    <col min="14088" max="14088" width="3.28515625" customWidth="1"/>
    <col min="14089" max="14089" width="3.5703125" customWidth="1"/>
    <col min="14255" max="14255" width="5.28515625" customWidth="1"/>
    <col min="14256" max="14256" width="39.5703125" customWidth="1"/>
    <col min="14257" max="14257" width="2.7109375" customWidth="1"/>
    <col min="14258" max="14259" width="2.5703125" bestFit="1" customWidth="1"/>
    <col min="14260" max="14260" width="2.5703125" customWidth="1"/>
    <col min="14261" max="14310" width="2.28515625" customWidth="1"/>
    <col min="14311" max="14315" width="2" customWidth="1"/>
    <col min="14316" max="14330" width="2.28515625" customWidth="1"/>
    <col min="14331" max="14335" width="2" customWidth="1"/>
    <col min="14336" max="14336" width="2.28515625" customWidth="1"/>
    <col min="14337" max="14337" width="40.5703125" customWidth="1"/>
    <col min="14338" max="14339" width="3.5703125" customWidth="1"/>
    <col min="14340" max="14340" width="3.7109375" customWidth="1"/>
    <col min="14341" max="14341" width="3.42578125" customWidth="1"/>
    <col min="14342" max="14343" width="3.140625" customWidth="1"/>
    <col min="14344" max="14344" width="3.28515625" customWidth="1"/>
    <col min="14345" max="14345" width="3.5703125" customWidth="1"/>
    <col min="14511" max="14511" width="5.28515625" customWidth="1"/>
    <col min="14512" max="14512" width="39.5703125" customWidth="1"/>
    <col min="14513" max="14513" width="2.7109375" customWidth="1"/>
    <col min="14514" max="14515" width="2.5703125" bestFit="1" customWidth="1"/>
    <col min="14516" max="14516" width="2.5703125" customWidth="1"/>
    <col min="14517" max="14566" width="2.28515625" customWidth="1"/>
    <col min="14567" max="14571" width="2" customWidth="1"/>
    <col min="14572" max="14586" width="2.28515625" customWidth="1"/>
    <col min="14587" max="14591" width="2" customWidth="1"/>
    <col min="14592" max="14592" width="2.28515625" customWidth="1"/>
    <col min="14593" max="14593" width="40.5703125" customWidth="1"/>
    <col min="14594" max="14595" width="3.5703125" customWidth="1"/>
    <col min="14596" max="14596" width="3.7109375" customWidth="1"/>
    <col min="14597" max="14597" width="3.42578125" customWidth="1"/>
    <col min="14598" max="14599" width="3.140625" customWidth="1"/>
    <col min="14600" max="14600" width="3.28515625" customWidth="1"/>
    <col min="14601" max="14601" width="3.5703125" customWidth="1"/>
    <col min="14767" max="14767" width="5.28515625" customWidth="1"/>
    <col min="14768" max="14768" width="39.5703125" customWidth="1"/>
    <col min="14769" max="14769" width="2.7109375" customWidth="1"/>
    <col min="14770" max="14771" width="2.5703125" bestFit="1" customWidth="1"/>
    <col min="14772" max="14772" width="2.5703125" customWidth="1"/>
    <col min="14773" max="14822" width="2.28515625" customWidth="1"/>
    <col min="14823" max="14827" width="2" customWidth="1"/>
    <col min="14828" max="14842" width="2.28515625" customWidth="1"/>
    <col min="14843" max="14847" width="2" customWidth="1"/>
    <col min="14848" max="14848" width="2.28515625" customWidth="1"/>
    <col min="14849" max="14849" width="40.5703125" customWidth="1"/>
    <col min="14850" max="14851" width="3.5703125" customWidth="1"/>
    <col min="14852" max="14852" width="3.7109375" customWidth="1"/>
    <col min="14853" max="14853" width="3.42578125" customWidth="1"/>
    <col min="14854" max="14855" width="3.140625" customWidth="1"/>
    <col min="14856" max="14856" width="3.28515625" customWidth="1"/>
    <col min="14857" max="14857" width="3.5703125" customWidth="1"/>
    <col min="15023" max="15023" width="5.28515625" customWidth="1"/>
    <col min="15024" max="15024" width="39.5703125" customWidth="1"/>
    <col min="15025" max="15025" width="2.7109375" customWidth="1"/>
    <col min="15026" max="15027" width="2.5703125" bestFit="1" customWidth="1"/>
    <col min="15028" max="15028" width="2.5703125" customWidth="1"/>
    <col min="15029" max="15078" width="2.28515625" customWidth="1"/>
    <col min="15079" max="15083" width="2" customWidth="1"/>
    <col min="15084" max="15098" width="2.28515625" customWidth="1"/>
    <col min="15099" max="15103" width="2" customWidth="1"/>
    <col min="15104" max="15104" width="2.28515625" customWidth="1"/>
    <col min="15105" max="15105" width="40.5703125" customWidth="1"/>
    <col min="15106" max="15107" width="3.5703125" customWidth="1"/>
    <col min="15108" max="15108" width="3.7109375" customWidth="1"/>
    <col min="15109" max="15109" width="3.42578125" customWidth="1"/>
    <col min="15110" max="15111" width="3.140625" customWidth="1"/>
    <col min="15112" max="15112" width="3.28515625" customWidth="1"/>
    <col min="15113" max="15113" width="3.5703125" customWidth="1"/>
    <col min="15279" max="15279" width="5.28515625" customWidth="1"/>
    <col min="15280" max="15280" width="39.5703125" customWidth="1"/>
    <col min="15281" max="15281" width="2.7109375" customWidth="1"/>
    <col min="15282" max="15283" width="2.5703125" bestFit="1" customWidth="1"/>
    <col min="15284" max="15284" width="2.5703125" customWidth="1"/>
    <col min="15285" max="15334" width="2.28515625" customWidth="1"/>
    <col min="15335" max="15339" width="2" customWidth="1"/>
    <col min="15340" max="15354" width="2.28515625" customWidth="1"/>
    <col min="15355" max="15359" width="2" customWidth="1"/>
    <col min="15360" max="15360" width="2.28515625" customWidth="1"/>
    <col min="15361" max="15361" width="40.5703125" customWidth="1"/>
    <col min="15362" max="15363" width="3.5703125" customWidth="1"/>
    <col min="15364" max="15364" width="3.7109375" customWidth="1"/>
    <col min="15365" max="15365" width="3.42578125" customWidth="1"/>
    <col min="15366" max="15367" width="3.140625" customWidth="1"/>
    <col min="15368" max="15368" width="3.28515625" customWidth="1"/>
    <col min="15369" max="15369" width="3.5703125" customWidth="1"/>
    <col min="15535" max="15535" width="5.28515625" customWidth="1"/>
    <col min="15536" max="15536" width="39.5703125" customWidth="1"/>
    <col min="15537" max="15537" width="2.7109375" customWidth="1"/>
    <col min="15538" max="15539" width="2.5703125" bestFit="1" customWidth="1"/>
    <col min="15540" max="15540" width="2.5703125" customWidth="1"/>
    <col min="15541" max="15590" width="2.28515625" customWidth="1"/>
    <col min="15591" max="15595" width="2" customWidth="1"/>
    <col min="15596" max="15610" width="2.28515625" customWidth="1"/>
    <col min="15611" max="15615" width="2" customWidth="1"/>
    <col min="15616" max="15616" width="2.28515625" customWidth="1"/>
    <col min="15617" max="15617" width="40.5703125" customWidth="1"/>
    <col min="15618" max="15619" width="3.5703125" customWidth="1"/>
    <col min="15620" max="15620" width="3.7109375" customWidth="1"/>
    <col min="15621" max="15621" width="3.42578125" customWidth="1"/>
    <col min="15622" max="15623" width="3.140625" customWidth="1"/>
    <col min="15624" max="15624" width="3.28515625" customWidth="1"/>
    <col min="15625" max="15625" width="3.5703125" customWidth="1"/>
    <col min="15791" max="15791" width="5.28515625" customWidth="1"/>
    <col min="15792" max="15792" width="39.5703125" customWidth="1"/>
    <col min="15793" max="15793" width="2.7109375" customWidth="1"/>
    <col min="15794" max="15795" width="2.5703125" bestFit="1" customWidth="1"/>
    <col min="15796" max="15796" width="2.5703125" customWidth="1"/>
    <col min="15797" max="15846" width="2.28515625" customWidth="1"/>
    <col min="15847" max="15851" width="2" customWidth="1"/>
    <col min="15852" max="15866" width="2.28515625" customWidth="1"/>
    <col min="15867" max="15871" width="2" customWidth="1"/>
    <col min="15872" max="15872" width="2.28515625" customWidth="1"/>
    <col min="15873" max="15873" width="40.5703125" customWidth="1"/>
    <col min="15874" max="15875" width="3.5703125" customWidth="1"/>
    <col min="15876" max="15876" width="3.7109375" customWidth="1"/>
    <col min="15877" max="15877" width="3.42578125" customWidth="1"/>
    <col min="15878" max="15879" width="3.140625" customWidth="1"/>
    <col min="15880" max="15880" width="3.28515625" customWidth="1"/>
    <col min="15881" max="15881" width="3.5703125" customWidth="1"/>
    <col min="16047" max="16047" width="5.28515625" customWidth="1"/>
    <col min="16048" max="16048" width="39.5703125" customWidth="1"/>
    <col min="16049" max="16049" width="2.7109375" customWidth="1"/>
    <col min="16050" max="16051" width="2.5703125" bestFit="1" customWidth="1"/>
    <col min="16052" max="16052" width="2.5703125" customWidth="1"/>
    <col min="16053" max="16102" width="2.28515625" customWidth="1"/>
    <col min="16103" max="16107" width="2" customWidth="1"/>
    <col min="16108" max="16122" width="2.28515625" customWidth="1"/>
    <col min="16123" max="16127" width="2" customWidth="1"/>
    <col min="16128" max="16128" width="2.28515625" customWidth="1"/>
    <col min="16129" max="16129" width="40.5703125" customWidth="1"/>
    <col min="16130" max="16131" width="3.5703125" customWidth="1"/>
    <col min="16132" max="16132" width="3.7109375" customWidth="1"/>
    <col min="16133" max="16133" width="3.42578125" customWidth="1"/>
    <col min="16134" max="16135" width="3.140625" customWidth="1"/>
    <col min="16136" max="16136" width="3.28515625" customWidth="1"/>
    <col min="16137" max="16137" width="3.5703125" customWidth="1"/>
  </cols>
  <sheetData>
    <row r="1" spans="1:12" s="13" customFormat="1" ht="21">
      <c r="A1" s="112"/>
      <c r="B1" s="272" t="s">
        <v>107</v>
      </c>
      <c r="C1" s="273"/>
      <c r="D1" s="273"/>
      <c r="E1" s="273"/>
      <c r="F1" s="273"/>
      <c r="G1" s="273"/>
      <c r="H1" s="273"/>
      <c r="I1" s="273"/>
      <c r="J1" s="273"/>
      <c r="K1" s="274"/>
    </row>
    <row r="2" spans="1:12" s="17" customFormat="1" ht="17.25">
      <c r="A2" s="112"/>
      <c r="B2" s="115" t="s">
        <v>0</v>
      </c>
      <c r="C2" s="34"/>
      <c r="D2" s="18"/>
      <c r="E2" s="269" t="str">
        <f>+CUESTIONARIO!E2</f>
        <v>TABACALERA MENHURSA S.A.</v>
      </c>
      <c r="F2" s="269"/>
      <c r="G2" s="269"/>
      <c r="H2" s="269"/>
      <c r="I2" s="269"/>
      <c r="J2" s="269"/>
      <c r="K2" s="275"/>
    </row>
    <row r="3" spans="1:12" s="17" customFormat="1" ht="17.25">
      <c r="A3" s="112"/>
      <c r="B3" s="115" t="s">
        <v>31</v>
      </c>
      <c r="C3" s="34"/>
      <c r="D3" s="18"/>
      <c r="E3" s="269" t="s">
        <v>379</v>
      </c>
      <c r="F3" s="269"/>
      <c r="G3" s="269"/>
      <c r="H3" s="269"/>
      <c r="I3" s="269"/>
      <c r="J3" s="269"/>
      <c r="K3" s="275"/>
    </row>
    <row r="4" spans="1:12" s="15" customFormat="1" ht="21">
      <c r="A4" s="113"/>
      <c r="B4" s="115" t="s">
        <v>32</v>
      </c>
      <c r="C4" s="35"/>
      <c r="D4" s="11"/>
      <c r="E4" s="269" t="s">
        <v>46</v>
      </c>
      <c r="F4" s="269"/>
      <c r="G4" s="269"/>
      <c r="H4" s="269"/>
      <c r="I4" s="269"/>
      <c r="J4" s="269"/>
      <c r="K4" s="275"/>
    </row>
    <row r="5" spans="1:12" s="2" customFormat="1" ht="15.75">
      <c r="A5" s="113"/>
      <c r="B5" s="116" t="s">
        <v>1</v>
      </c>
      <c r="C5" s="109"/>
      <c r="D5" s="110"/>
      <c r="E5" s="101" t="s">
        <v>334</v>
      </c>
      <c r="F5" s="111"/>
      <c r="G5" s="111"/>
      <c r="H5" s="111" t="s">
        <v>2</v>
      </c>
      <c r="I5" s="111"/>
      <c r="J5" s="111"/>
      <c r="K5" s="117"/>
    </row>
    <row r="6" spans="1:12" s="2" customFormat="1" ht="16.5" thickBot="1">
      <c r="A6" s="113"/>
      <c r="B6" s="116" t="s">
        <v>3</v>
      </c>
      <c r="C6" s="109"/>
      <c r="D6" s="110"/>
      <c r="E6" s="101" t="s">
        <v>367</v>
      </c>
      <c r="F6" s="111"/>
      <c r="G6" s="111"/>
      <c r="H6" s="111" t="s">
        <v>2</v>
      </c>
      <c r="I6" s="111"/>
      <c r="J6" s="111"/>
      <c r="K6" s="105"/>
    </row>
    <row r="7" spans="1:12" s="2" customFormat="1" ht="16.5" customHeight="1">
      <c r="A7" s="113"/>
      <c r="B7" s="118" t="s">
        <v>4</v>
      </c>
      <c r="C7" s="36"/>
      <c r="D7" s="24"/>
      <c r="E7" s="23" t="s">
        <v>33</v>
      </c>
      <c r="G7" s="23" t="s">
        <v>18</v>
      </c>
      <c r="H7" s="1"/>
      <c r="I7" s="1"/>
      <c r="J7" s="102" t="s">
        <v>368</v>
      </c>
      <c r="K7" s="103"/>
    </row>
    <row r="8" spans="1:12" s="2" customFormat="1" ht="15.75">
      <c r="A8" s="113"/>
      <c r="B8" s="119" t="s">
        <v>6</v>
      </c>
      <c r="C8" s="36"/>
      <c r="D8" s="25" t="s">
        <v>7</v>
      </c>
      <c r="E8" s="26">
        <v>0</v>
      </c>
      <c r="G8" s="25" t="s">
        <v>25</v>
      </c>
      <c r="H8" s="27"/>
      <c r="I8" s="27"/>
      <c r="J8" s="104"/>
      <c r="K8" s="105"/>
    </row>
    <row r="9" spans="1:12" s="2" customFormat="1" ht="15.75">
      <c r="A9" s="113"/>
      <c r="B9" s="119" t="s">
        <v>8</v>
      </c>
      <c r="C9" s="36"/>
      <c r="D9" s="25" t="s">
        <v>9</v>
      </c>
      <c r="E9" s="26">
        <v>1</v>
      </c>
      <c r="G9" s="25" t="s">
        <v>26</v>
      </c>
      <c r="H9" s="27"/>
      <c r="I9" s="27"/>
      <c r="J9" s="106" t="s">
        <v>5</v>
      </c>
      <c r="K9" s="105"/>
    </row>
    <row r="10" spans="1:12" s="2" customFormat="1" ht="16.5" thickBot="1">
      <c r="A10" s="113"/>
      <c r="B10" s="119" t="s">
        <v>10</v>
      </c>
      <c r="C10" s="36"/>
      <c r="D10" s="25" t="s">
        <v>11</v>
      </c>
      <c r="E10" s="26" t="s">
        <v>34</v>
      </c>
      <c r="G10" s="25" t="s">
        <v>27</v>
      </c>
      <c r="H10" s="27"/>
      <c r="I10" s="27"/>
      <c r="J10" s="107"/>
      <c r="K10" s="108"/>
    </row>
    <row r="11" spans="1:12" ht="8.25" customHeight="1">
      <c r="B11" s="66"/>
      <c r="C11" s="67"/>
      <c r="D11" s="9"/>
      <c r="E11" s="9"/>
      <c r="F11" s="9"/>
      <c r="G11" s="9"/>
      <c r="H11" s="61"/>
      <c r="I11" s="61"/>
      <c r="J11" s="9"/>
      <c r="K11" s="68"/>
    </row>
    <row r="12" spans="1:12" s="6" customFormat="1" ht="15.75">
      <c r="A12" s="114"/>
      <c r="B12" s="120" t="s">
        <v>43</v>
      </c>
      <c r="C12" s="121"/>
      <c r="D12" s="122" t="s">
        <v>76</v>
      </c>
      <c r="E12" s="122"/>
      <c r="F12" s="43"/>
      <c r="G12" s="43"/>
      <c r="H12" s="123"/>
      <c r="I12" s="123"/>
      <c r="J12" s="43"/>
      <c r="K12" s="124"/>
    </row>
    <row r="13" spans="1:12" s="6" customFormat="1" ht="15.75" customHeight="1">
      <c r="A13" s="114"/>
      <c r="B13" s="125"/>
      <c r="C13" s="126"/>
      <c r="D13" s="122" t="s">
        <v>44</v>
      </c>
      <c r="E13" s="122"/>
      <c r="F13" s="127"/>
      <c r="G13" s="127"/>
      <c r="H13" s="127"/>
      <c r="I13" s="127"/>
      <c r="J13" s="127"/>
      <c r="K13" s="128"/>
      <c r="L13" s="29"/>
    </row>
    <row r="14" spans="1:12" s="6" customFormat="1" ht="15.75" customHeight="1" thickBot="1">
      <c r="A14" s="114"/>
      <c r="B14" s="129"/>
      <c r="C14" s="130"/>
      <c r="D14" s="131" t="s">
        <v>77</v>
      </c>
      <c r="E14" s="131"/>
      <c r="F14" s="132"/>
      <c r="G14" s="132"/>
      <c r="H14" s="132"/>
      <c r="I14" s="132"/>
      <c r="J14" s="132"/>
      <c r="K14" s="133"/>
      <c r="L14" s="29"/>
    </row>
    <row r="15" spans="1:12" s="6" customFormat="1" ht="15.75">
      <c r="A15" s="5"/>
      <c r="B15" s="155"/>
      <c r="C15" s="156" t="s">
        <v>115</v>
      </c>
      <c r="D15" s="43"/>
      <c r="E15" s="43"/>
      <c r="F15" s="43"/>
      <c r="G15" s="43"/>
      <c r="H15" s="223" t="str">
        <f>+CUESTIONARIO!L10</f>
        <v>Papel de Trabajo actualizado septiembre-2022</v>
      </c>
      <c r="I15" s="43"/>
      <c r="J15" s="43"/>
      <c r="K15" s="124"/>
    </row>
    <row r="16" spans="1:12" s="6" customFormat="1" ht="17.25">
      <c r="A16" s="5" t="s">
        <v>13</v>
      </c>
      <c r="B16" s="157">
        <v>1</v>
      </c>
      <c r="C16" s="270" t="s">
        <v>86</v>
      </c>
      <c r="D16" s="270"/>
      <c r="E16" s="270"/>
      <c r="F16" s="270"/>
      <c r="G16" s="270"/>
      <c r="H16" s="270"/>
      <c r="I16" s="270"/>
      <c r="J16" s="270"/>
      <c r="K16" s="271"/>
    </row>
    <row r="17" spans="1:11" s="6" customFormat="1" ht="17.25">
      <c r="A17" s="5" t="s">
        <v>13</v>
      </c>
      <c r="B17" s="157">
        <v>2</v>
      </c>
      <c r="C17" s="270" t="s">
        <v>87</v>
      </c>
      <c r="D17" s="270"/>
      <c r="E17" s="270"/>
      <c r="F17" s="270"/>
      <c r="G17" s="270"/>
      <c r="H17" s="270"/>
      <c r="I17" s="270"/>
      <c r="J17" s="270"/>
      <c r="K17" s="271"/>
    </row>
    <row r="18" spans="1:11" s="6" customFormat="1" ht="17.25">
      <c r="A18" s="5" t="s">
        <v>13</v>
      </c>
      <c r="B18" s="157">
        <v>3</v>
      </c>
      <c r="C18" s="270" t="s">
        <v>88</v>
      </c>
      <c r="D18" s="270"/>
      <c r="E18" s="270"/>
      <c r="F18" s="270"/>
      <c r="G18" s="270"/>
      <c r="H18" s="270"/>
      <c r="I18" s="270"/>
      <c r="J18" s="270"/>
      <c r="K18" s="271"/>
    </row>
    <row r="19" spans="1:11" s="6" customFormat="1" ht="17.25">
      <c r="A19" s="5" t="s">
        <v>13</v>
      </c>
      <c r="B19" s="157">
        <v>4</v>
      </c>
      <c r="C19" s="270" t="s">
        <v>89</v>
      </c>
      <c r="D19" s="270"/>
      <c r="E19" s="270"/>
      <c r="F19" s="270"/>
      <c r="G19" s="270"/>
      <c r="H19" s="270"/>
      <c r="I19" s="270"/>
      <c r="J19" s="270"/>
      <c r="K19" s="271"/>
    </row>
    <row r="20" spans="1:11" s="6" customFormat="1" ht="17.25">
      <c r="A20" s="5" t="s">
        <v>13</v>
      </c>
      <c r="B20" s="157">
        <v>5</v>
      </c>
      <c r="C20" s="270" t="s">
        <v>90</v>
      </c>
      <c r="D20" s="270"/>
      <c r="E20" s="270"/>
      <c r="F20" s="270"/>
      <c r="G20" s="270"/>
      <c r="H20" s="270"/>
      <c r="I20" s="270"/>
      <c r="J20" s="270"/>
      <c r="K20" s="271"/>
    </row>
    <row r="21" spans="1:11" s="6" customFormat="1" ht="33">
      <c r="A21" s="5" t="s">
        <v>12</v>
      </c>
      <c r="B21" s="157">
        <v>6</v>
      </c>
      <c r="C21" s="270" t="s">
        <v>285</v>
      </c>
      <c r="D21" s="270"/>
      <c r="E21" s="270"/>
      <c r="F21" s="270"/>
      <c r="G21" s="270"/>
      <c r="H21" s="270"/>
      <c r="I21" s="270"/>
      <c r="J21" s="270"/>
      <c r="K21" s="271"/>
    </row>
    <row r="22" spans="1:11" s="6" customFormat="1" ht="33">
      <c r="A22" s="5" t="s">
        <v>12</v>
      </c>
      <c r="B22" s="157">
        <v>7</v>
      </c>
      <c r="C22" s="270" t="s">
        <v>91</v>
      </c>
      <c r="D22" s="270"/>
      <c r="E22" s="270"/>
      <c r="F22" s="270"/>
      <c r="G22" s="270"/>
      <c r="H22" s="270"/>
      <c r="I22" s="270"/>
      <c r="J22" s="270"/>
      <c r="K22" s="271"/>
    </row>
    <row r="23" spans="1:11" s="6" customFormat="1" ht="21" customHeight="1">
      <c r="A23" s="5" t="s">
        <v>13</v>
      </c>
      <c r="B23" s="157">
        <v>8</v>
      </c>
      <c r="C23" s="270" t="s">
        <v>286</v>
      </c>
      <c r="D23" s="270"/>
      <c r="E23" s="270"/>
      <c r="F23" s="270"/>
      <c r="G23" s="270"/>
      <c r="H23" s="270"/>
      <c r="I23" s="270"/>
      <c r="J23" s="270"/>
      <c r="K23" s="271"/>
    </row>
    <row r="24" spans="1:11" s="6" customFormat="1" ht="33">
      <c r="A24" s="5" t="s">
        <v>12</v>
      </c>
      <c r="B24" s="157">
        <v>9</v>
      </c>
      <c r="C24" s="270" t="s">
        <v>92</v>
      </c>
      <c r="D24" s="270"/>
      <c r="E24" s="270"/>
      <c r="F24" s="270"/>
      <c r="G24" s="270"/>
      <c r="H24" s="270"/>
      <c r="I24" s="270"/>
      <c r="J24" s="270"/>
      <c r="K24" s="271"/>
    </row>
    <row r="25" spans="1:11" s="6" customFormat="1" ht="33">
      <c r="A25" s="5" t="s">
        <v>12</v>
      </c>
      <c r="B25" s="157">
        <v>10</v>
      </c>
      <c r="C25" s="270" t="s">
        <v>93</v>
      </c>
      <c r="D25" s="270"/>
      <c r="E25" s="270"/>
      <c r="F25" s="270"/>
      <c r="G25" s="270"/>
      <c r="H25" s="270"/>
      <c r="I25" s="270"/>
      <c r="J25" s="270"/>
      <c r="K25" s="271"/>
    </row>
    <row r="26" spans="1:11" s="6" customFormat="1" ht="48.75">
      <c r="A26" s="5" t="s">
        <v>14</v>
      </c>
      <c r="B26" s="157">
        <v>11</v>
      </c>
      <c r="C26" s="270" t="s">
        <v>94</v>
      </c>
      <c r="D26" s="270"/>
      <c r="E26" s="270"/>
      <c r="F26" s="270"/>
      <c r="G26" s="270"/>
      <c r="H26" s="270"/>
      <c r="I26" s="270"/>
      <c r="J26" s="270"/>
      <c r="K26" s="271"/>
    </row>
    <row r="27" spans="1:11" s="6" customFormat="1" ht="33">
      <c r="A27" s="5" t="s">
        <v>12</v>
      </c>
      <c r="B27" s="157">
        <v>12</v>
      </c>
      <c r="C27" s="270" t="s">
        <v>95</v>
      </c>
      <c r="D27" s="270"/>
      <c r="E27" s="270"/>
      <c r="F27" s="270"/>
      <c r="G27" s="270"/>
      <c r="H27" s="270"/>
      <c r="I27" s="270"/>
      <c r="J27" s="270"/>
      <c r="K27" s="271"/>
    </row>
    <row r="28" spans="1:11" s="6" customFormat="1" ht="33">
      <c r="A28" s="5" t="s">
        <v>12</v>
      </c>
      <c r="B28" s="157">
        <v>13</v>
      </c>
      <c r="C28" s="270" t="s">
        <v>287</v>
      </c>
      <c r="D28" s="270"/>
      <c r="E28" s="270"/>
      <c r="F28" s="270"/>
      <c r="G28" s="270"/>
      <c r="H28" s="270"/>
      <c r="I28" s="270"/>
      <c r="J28" s="270"/>
      <c r="K28" s="271"/>
    </row>
    <row r="29" spans="1:11" s="6" customFormat="1" ht="33">
      <c r="A29" s="5" t="s">
        <v>12</v>
      </c>
      <c r="B29" s="157">
        <v>14</v>
      </c>
      <c r="C29" s="270" t="s">
        <v>288</v>
      </c>
      <c r="D29" s="270"/>
      <c r="E29" s="270"/>
      <c r="F29" s="270"/>
      <c r="G29" s="270"/>
      <c r="H29" s="270"/>
      <c r="I29" s="270"/>
      <c r="J29" s="270"/>
      <c r="K29" s="271"/>
    </row>
    <row r="30" spans="1:11" s="6" customFormat="1" ht="33">
      <c r="A30" s="5" t="s">
        <v>12</v>
      </c>
      <c r="B30" s="157">
        <v>15</v>
      </c>
      <c r="C30" s="270" t="s">
        <v>289</v>
      </c>
      <c r="D30" s="270"/>
      <c r="E30" s="270"/>
      <c r="F30" s="270"/>
      <c r="G30" s="270"/>
      <c r="H30" s="270"/>
      <c r="I30" s="270"/>
      <c r="J30" s="270"/>
      <c r="K30" s="271"/>
    </row>
    <row r="31" spans="1:11" s="6" customFormat="1" ht="15.75">
      <c r="A31" s="5"/>
      <c r="B31" s="157">
        <v>16</v>
      </c>
      <c r="C31" s="270" t="s">
        <v>96</v>
      </c>
      <c r="D31" s="270"/>
      <c r="E31" s="270"/>
      <c r="F31" s="270"/>
      <c r="G31" s="270"/>
      <c r="H31" s="270"/>
      <c r="I31" s="270"/>
      <c r="J31" s="270"/>
      <c r="K31" s="271"/>
    </row>
    <row r="32" spans="1:11" s="6" customFormat="1" ht="15.75">
      <c r="A32" s="5"/>
      <c r="B32" s="157">
        <v>17</v>
      </c>
      <c r="C32" s="270" t="s">
        <v>290</v>
      </c>
      <c r="D32" s="270"/>
      <c r="E32" s="270"/>
      <c r="F32" s="270"/>
      <c r="G32" s="270"/>
      <c r="H32" s="270"/>
      <c r="I32" s="270"/>
      <c r="J32" s="270"/>
      <c r="K32" s="271"/>
    </row>
    <row r="33" spans="1:11" s="6" customFormat="1" ht="15.75">
      <c r="A33" s="5"/>
      <c r="B33" s="157">
        <v>18</v>
      </c>
      <c r="C33" s="270" t="s">
        <v>97</v>
      </c>
      <c r="D33" s="270"/>
      <c r="E33" s="270"/>
      <c r="F33" s="270"/>
      <c r="G33" s="270"/>
      <c r="H33" s="270"/>
      <c r="I33" s="270"/>
      <c r="J33" s="270"/>
      <c r="K33" s="271"/>
    </row>
    <row r="34" spans="1:11" s="6" customFormat="1" ht="15.75">
      <c r="A34" s="5"/>
      <c r="B34" s="157">
        <v>19</v>
      </c>
      <c r="C34" s="270" t="s">
        <v>98</v>
      </c>
      <c r="D34" s="270"/>
      <c r="E34" s="270"/>
      <c r="F34" s="270"/>
      <c r="G34" s="270"/>
      <c r="H34" s="270"/>
      <c r="I34" s="270"/>
      <c r="J34" s="270"/>
      <c r="K34" s="271"/>
    </row>
    <row r="35" spans="1:11" s="6" customFormat="1" ht="15.75">
      <c r="A35" s="5"/>
      <c r="B35" s="157">
        <v>20</v>
      </c>
      <c r="C35" s="270" t="s">
        <v>291</v>
      </c>
      <c r="D35" s="270"/>
      <c r="E35" s="270"/>
      <c r="F35" s="270"/>
      <c r="G35" s="270"/>
      <c r="H35" s="270"/>
      <c r="I35" s="270"/>
      <c r="J35" s="270"/>
      <c r="K35" s="271"/>
    </row>
    <row r="36" spans="1:11" s="6" customFormat="1" ht="15.75">
      <c r="A36" s="5"/>
      <c r="B36" s="157"/>
      <c r="C36" s="276" t="s">
        <v>99</v>
      </c>
      <c r="D36" s="276"/>
      <c r="E36" s="276"/>
      <c r="F36" s="276"/>
      <c r="G36" s="276"/>
      <c r="H36" s="276"/>
      <c r="I36" s="276"/>
      <c r="J36" s="276"/>
      <c r="K36" s="277"/>
    </row>
    <row r="37" spans="1:11" s="6" customFormat="1" ht="15.75">
      <c r="A37" s="5"/>
      <c r="B37" s="157">
        <v>21</v>
      </c>
      <c r="C37" s="270" t="s">
        <v>100</v>
      </c>
      <c r="D37" s="270"/>
      <c r="E37" s="270"/>
      <c r="F37" s="270"/>
      <c r="G37" s="270"/>
      <c r="H37" s="270"/>
      <c r="I37" s="270"/>
      <c r="J37" s="270"/>
      <c r="K37" s="271"/>
    </row>
    <row r="38" spans="1:11" s="6" customFormat="1" ht="15.75">
      <c r="A38" s="5"/>
      <c r="B38" s="157">
        <v>22</v>
      </c>
      <c r="C38" s="270" t="s">
        <v>101</v>
      </c>
      <c r="D38" s="270"/>
      <c r="E38" s="270"/>
      <c r="F38" s="270"/>
      <c r="G38" s="270"/>
      <c r="H38" s="270"/>
      <c r="I38" s="270"/>
      <c r="J38" s="270"/>
      <c r="K38" s="271"/>
    </row>
    <row r="39" spans="1:11" s="6" customFormat="1" ht="15.75">
      <c r="A39" s="5"/>
      <c r="B39" s="157">
        <v>23</v>
      </c>
      <c r="C39" s="270" t="s">
        <v>189</v>
      </c>
      <c r="D39" s="270"/>
      <c r="E39" s="270"/>
      <c r="F39" s="270"/>
      <c r="G39" s="270"/>
      <c r="H39" s="270"/>
      <c r="I39" s="270"/>
      <c r="J39" s="270"/>
      <c r="K39" s="271"/>
    </row>
    <row r="40" spans="1:11" s="6" customFormat="1" ht="15.75">
      <c r="A40" s="5"/>
      <c r="B40" s="157"/>
      <c r="C40" s="276" t="s">
        <v>102</v>
      </c>
      <c r="D40" s="276"/>
      <c r="E40" s="276"/>
      <c r="F40" s="276"/>
      <c r="G40" s="276"/>
      <c r="H40" s="276"/>
      <c r="I40" s="276"/>
      <c r="J40" s="276"/>
      <c r="K40" s="277"/>
    </row>
    <row r="41" spans="1:11" s="6" customFormat="1" ht="15.75">
      <c r="A41" s="5"/>
      <c r="B41" s="157">
        <v>24</v>
      </c>
      <c r="C41" s="270" t="s">
        <v>103</v>
      </c>
      <c r="D41" s="270"/>
      <c r="E41" s="270"/>
      <c r="F41" s="270"/>
      <c r="G41" s="270"/>
      <c r="H41" s="270"/>
      <c r="I41" s="270"/>
      <c r="J41" s="270"/>
      <c r="K41" s="271"/>
    </row>
    <row r="42" spans="1:11" s="6" customFormat="1" ht="15.75">
      <c r="A42" s="5"/>
      <c r="B42" s="157">
        <v>25</v>
      </c>
      <c r="C42" s="270" t="s">
        <v>104</v>
      </c>
      <c r="D42" s="270"/>
      <c r="E42" s="270"/>
      <c r="F42" s="270"/>
      <c r="G42" s="270"/>
      <c r="H42" s="270"/>
      <c r="I42" s="270"/>
      <c r="J42" s="270"/>
      <c r="K42" s="271"/>
    </row>
    <row r="43" spans="1:11" s="6" customFormat="1" ht="15.75">
      <c r="A43" s="5"/>
      <c r="B43" s="157">
        <v>26</v>
      </c>
      <c r="C43" s="270" t="s">
        <v>105</v>
      </c>
      <c r="D43" s="270"/>
      <c r="E43" s="270"/>
      <c r="F43" s="270"/>
      <c r="G43" s="270"/>
      <c r="H43" s="270"/>
      <c r="I43" s="270"/>
      <c r="J43" s="270"/>
      <c r="K43" s="271"/>
    </row>
    <row r="44" spans="1:11" s="6" customFormat="1" ht="33">
      <c r="A44" s="5" t="s">
        <v>12</v>
      </c>
      <c r="B44" s="157">
        <v>27</v>
      </c>
      <c r="C44" s="270" t="s">
        <v>185</v>
      </c>
      <c r="D44" s="270"/>
      <c r="E44" s="270"/>
      <c r="F44" s="270"/>
      <c r="G44" s="270"/>
      <c r="H44" s="270"/>
      <c r="I44" s="270"/>
      <c r="J44" s="270"/>
      <c r="K44" s="271"/>
    </row>
    <row r="45" spans="1:11" s="6" customFormat="1" ht="33">
      <c r="A45" s="5" t="s">
        <v>12</v>
      </c>
      <c r="B45" s="157">
        <v>28</v>
      </c>
      <c r="C45" s="270" t="s">
        <v>108</v>
      </c>
      <c r="D45" s="270"/>
      <c r="E45" s="270"/>
      <c r="F45" s="270"/>
      <c r="G45" s="270"/>
      <c r="H45" s="270"/>
      <c r="I45" s="270"/>
      <c r="J45" s="270"/>
      <c r="K45" s="271"/>
    </row>
    <row r="46" spans="1:11" s="6" customFormat="1" ht="17.25">
      <c r="A46" s="5" t="s">
        <v>13</v>
      </c>
      <c r="B46" s="157">
        <v>29</v>
      </c>
      <c r="C46" s="270" t="s">
        <v>109</v>
      </c>
      <c r="D46" s="270"/>
      <c r="E46" s="270"/>
      <c r="F46" s="270"/>
      <c r="G46" s="270"/>
      <c r="H46" s="270"/>
      <c r="I46" s="270"/>
      <c r="J46" s="270"/>
      <c r="K46" s="271"/>
    </row>
    <row r="47" spans="1:11" s="6" customFormat="1" ht="15.75">
      <c r="A47" s="5"/>
      <c r="B47" s="157">
        <v>30</v>
      </c>
      <c r="C47" s="270" t="s">
        <v>106</v>
      </c>
      <c r="D47" s="270"/>
      <c r="E47" s="270"/>
      <c r="F47" s="270"/>
      <c r="G47" s="270"/>
      <c r="H47" s="270"/>
      <c r="I47" s="270"/>
      <c r="J47" s="270"/>
      <c r="K47" s="271"/>
    </row>
    <row r="48" spans="1:11" s="6" customFormat="1" ht="15.75">
      <c r="A48" s="5"/>
      <c r="B48" s="157">
        <v>31</v>
      </c>
      <c r="C48" s="270" t="s">
        <v>110</v>
      </c>
      <c r="D48" s="270"/>
      <c r="E48" s="270"/>
      <c r="F48" s="270"/>
      <c r="G48" s="270"/>
      <c r="H48" s="270"/>
      <c r="I48" s="270"/>
      <c r="J48" s="270"/>
      <c r="K48" s="271"/>
    </row>
    <row r="49" spans="1:11" s="6" customFormat="1" ht="33">
      <c r="A49" s="5" t="s">
        <v>12</v>
      </c>
      <c r="B49" s="157">
        <v>32</v>
      </c>
      <c r="C49" s="270" t="s">
        <v>111</v>
      </c>
      <c r="D49" s="270"/>
      <c r="E49" s="270"/>
      <c r="F49" s="270"/>
      <c r="G49" s="270"/>
      <c r="H49" s="270"/>
      <c r="I49" s="270"/>
      <c r="J49" s="270"/>
      <c r="K49" s="271"/>
    </row>
    <row r="50" spans="1:11" s="6" customFormat="1" ht="33">
      <c r="A50" s="5" t="s">
        <v>12</v>
      </c>
      <c r="B50" s="157">
        <v>33</v>
      </c>
      <c r="C50" s="270" t="s">
        <v>292</v>
      </c>
      <c r="D50" s="270"/>
      <c r="E50" s="270"/>
      <c r="F50" s="270"/>
      <c r="G50" s="270"/>
      <c r="H50" s="270"/>
      <c r="I50" s="270"/>
      <c r="J50" s="270"/>
      <c r="K50" s="271"/>
    </row>
    <row r="51" spans="1:11" s="6" customFormat="1" ht="33">
      <c r="A51" s="5" t="s">
        <v>12</v>
      </c>
      <c r="B51" s="157">
        <v>34</v>
      </c>
      <c r="C51" s="270" t="s">
        <v>112</v>
      </c>
      <c r="D51" s="270"/>
      <c r="E51" s="270"/>
      <c r="F51" s="270"/>
      <c r="G51" s="270"/>
      <c r="H51" s="270"/>
      <c r="I51" s="270"/>
      <c r="J51" s="270"/>
      <c r="K51" s="271"/>
    </row>
    <row r="52" spans="1:11" s="6" customFormat="1" ht="15.75">
      <c r="A52" s="5"/>
      <c r="B52" s="157">
        <v>35</v>
      </c>
      <c r="C52" s="270" t="s">
        <v>113</v>
      </c>
      <c r="D52" s="270"/>
      <c r="E52" s="270"/>
      <c r="F52" s="270"/>
      <c r="G52" s="270"/>
      <c r="H52" s="270"/>
      <c r="I52" s="270"/>
      <c r="J52" s="270"/>
      <c r="K52" s="271"/>
    </row>
    <row r="53" spans="1:11" s="6" customFormat="1" ht="15.75">
      <c r="A53" s="5"/>
      <c r="B53" s="157">
        <v>36</v>
      </c>
      <c r="C53" s="270" t="s">
        <v>114</v>
      </c>
      <c r="D53" s="270"/>
      <c r="E53" s="270"/>
      <c r="F53" s="270"/>
      <c r="G53" s="270"/>
      <c r="H53" s="270"/>
      <c r="I53" s="270"/>
      <c r="J53" s="270"/>
      <c r="K53" s="271"/>
    </row>
    <row r="54" spans="1:11" ht="15.75" thickBot="1">
      <c r="B54" s="69"/>
      <c r="C54" s="48"/>
      <c r="D54" s="48"/>
      <c r="E54" s="48"/>
      <c r="F54" s="48"/>
      <c r="G54" s="48"/>
      <c r="H54" s="48"/>
      <c r="I54" s="48"/>
      <c r="J54" s="48"/>
      <c r="K54" s="71"/>
    </row>
  </sheetData>
  <mergeCells count="42">
    <mergeCell ref="C48:K48"/>
    <mergeCell ref="C49:K49"/>
    <mergeCell ref="C50:K50"/>
    <mergeCell ref="C51:K51"/>
    <mergeCell ref="C52:K52"/>
    <mergeCell ref="C32:K32"/>
    <mergeCell ref="C53:K53"/>
    <mergeCell ref="C34:K34"/>
    <mergeCell ref="C35:K35"/>
    <mergeCell ref="C36:K36"/>
    <mergeCell ref="C37:K37"/>
    <mergeCell ref="C38:K38"/>
    <mergeCell ref="C39:K39"/>
    <mergeCell ref="C44:K44"/>
    <mergeCell ref="C45:K45"/>
    <mergeCell ref="C46:K46"/>
    <mergeCell ref="C47:K47"/>
    <mergeCell ref="C40:K40"/>
    <mergeCell ref="C41:K41"/>
    <mergeCell ref="C42:K42"/>
    <mergeCell ref="C43:K43"/>
    <mergeCell ref="C28:K28"/>
    <mergeCell ref="C29:K29"/>
    <mergeCell ref="C30:K30"/>
    <mergeCell ref="C31:K31"/>
    <mergeCell ref="C23:K23"/>
    <mergeCell ref="C33:K33"/>
    <mergeCell ref="B1:K1"/>
    <mergeCell ref="E2:K2"/>
    <mergeCell ref="E3:K3"/>
    <mergeCell ref="E4:K4"/>
    <mergeCell ref="C16:K16"/>
    <mergeCell ref="C17:K17"/>
    <mergeCell ref="C24:K24"/>
    <mergeCell ref="C25:K25"/>
    <mergeCell ref="C26:K26"/>
    <mergeCell ref="C27:K27"/>
    <mergeCell ref="C18:K18"/>
    <mergeCell ref="C19:K19"/>
    <mergeCell ref="C20:K20"/>
    <mergeCell ref="C21:K21"/>
    <mergeCell ref="C22:K22"/>
  </mergeCells>
  <pageMargins left="0.55118110236220474" right="0.43307086614173229" top="0.74803149606299213" bottom="0.74803149606299213" header="0.31496062992125984" footer="0.31496062992125984"/>
  <pageSetup paperSize="9" scale="8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52"/>
  <sheetViews>
    <sheetView tabSelected="1" zoomScaleNormal="100" workbookViewId="0">
      <selection activeCell="A8" sqref="A8"/>
    </sheetView>
  </sheetViews>
  <sheetFormatPr baseColWidth="10" defaultRowHeight="15"/>
  <cols>
    <col min="1" max="1" width="139.42578125" customWidth="1"/>
  </cols>
  <sheetData>
    <row r="1" spans="1:1">
      <c r="A1" s="3" t="s">
        <v>186</v>
      </c>
    </row>
    <row r="2" spans="1:1">
      <c r="A2" s="150" t="s">
        <v>187</v>
      </c>
    </row>
    <row r="3" spans="1:1">
      <c r="A3" s="150" t="s">
        <v>127</v>
      </c>
    </row>
    <row r="4" spans="1:1">
      <c r="A4" s="150" t="s">
        <v>150</v>
      </c>
    </row>
    <row r="5" spans="1:1">
      <c r="A5" s="150" t="s">
        <v>153</v>
      </c>
    </row>
    <row r="7" spans="1:1" ht="21">
      <c r="A7" s="134" t="s">
        <v>116</v>
      </c>
    </row>
    <row r="8" spans="1:1" ht="16.5" thickBot="1">
      <c r="A8" s="151" t="s">
        <v>187</v>
      </c>
    </row>
    <row r="9" spans="1:1" ht="16.5" thickTop="1">
      <c r="A9" s="135"/>
    </row>
    <row r="10" spans="1:1" ht="15.75">
      <c r="A10" s="135"/>
    </row>
    <row r="11" spans="1:1" ht="15.75">
      <c r="A11" s="136" t="s">
        <v>117</v>
      </c>
    </row>
    <row r="12" spans="1:1" ht="6" customHeight="1">
      <c r="A12" s="136"/>
    </row>
    <row r="13" spans="1:1" ht="15.75">
      <c r="A13" s="136" t="s">
        <v>118</v>
      </c>
    </row>
    <row r="14" spans="1:1" ht="7.5" customHeight="1">
      <c r="A14" s="136"/>
    </row>
    <row r="15" spans="1:1" ht="15.75">
      <c r="A15" s="136" t="s">
        <v>119</v>
      </c>
    </row>
    <row r="16" spans="1:1" ht="6" customHeight="1">
      <c r="A16" s="136"/>
    </row>
    <row r="17" spans="1:1" ht="15.75">
      <c r="A17" s="136" t="s">
        <v>120</v>
      </c>
    </row>
    <row r="18" spans="1:1" ht="6.75" customHeight="1">
      <c r="A18" s="136"/>
    </row>
    <row r="19" spans="1:1" ht="15.75">
      <c r="A19" s="136" t="s">
        <v>121</v>
      </c>
    </row>
    <row r="20" spans="1:1" ht="15.75">
      <c r="A20" s="136"/>
    </row>
    <row r="21" spans="1:1" ht="31.5">
      <c r="A21" s="137" t="s">
        <v>122</v>
      </c>
    </row>
    <row r="22" spans="1:1" ht="5.25" customHeight="1">
      <c r="A22" s="137"/>
    </row>
    <row r="23" spans="1:1" ht="31.5">
      <c r="A23" s="137" t="s">
        <v>123</v>
      </c>
    </row>
    <row r="24" spans="1:1" ht="7.5" customHeight="1">
      <c r="A24" s="137"/>
    </row>
    <row r="25" spans="1:1" ht="15.75">
      <c r="A25" s="137" t="s">
        <v>124</v>
      </c>
    </row>
    <row r="26" spans="1:1" ht="6" customHeight="1">
      <c r="A26" s="137"/>
    </row>
    <row r="27" spans="1:1" ht="31.5">
      <c r="A27" s="137" t="s">
        <v>125</v>
      </c>
    </row>
    <row r="28" spans="1:1" ht="15.75">
      <c r="A28" s="136" t="s">
        <v>126</v>
      </c>
    </row>
    <row r="29" spans="1:1" ht="15.75">
      <c r="A29" s="135" t="s">
        <v>188</v>
      </c>
    </row>
    <row r="30" spans="1:1" ht="15.75">
      <c r="A30" s="135"/>
    </row>
    <row r="31" spans="1:1" ht="15.75">
      <c r="A31" s="135"/>
    </row>
    <row r="32" spans="1:1" ht="16.5" thickBot="1">
      <c r="A32" s="151" t="s">
        <v>127</v>
      </c>
    </row>
    <row r="33" spans="1:3" ht="16.5" thickTop="1">
      <c r="A33" s="135"/>
    </row>
    <row r="34" spans="1:3" ht="15.75">
      <c r="A34" s="138" t="s">
        <v>128</v>
      </c>
    </row>
    <row r="35" spans="1:3" ht="15.75">
      <c r="A35" s="139" t="s">
        <v>129</v>
      </c>
    </row>
    <row r="36" spans="1:3" ht="15.75">
      <c r="A36" s="139" t="s">
        <v>130</v>
      </c>
    </row>
    <row r="37" spans="1:3" ht="15.75">
      <c r="A37" s="139" t="s">
        <v>131</v>
      </c>
    </row>
    <row r="38" spans="1:3" ht="15.75">
      <c r="A38" s="139" t="s">
        <v>132</v>
      </c>
    </row>
    <row r="39" spans="1:3" ht="15.75">
      <c r="A39" s="139" t="s">
        <v>133</v>
      </c>
    </row>
    <row r="40" spans="1:3" ht="15.75">
      <c r="A40" s="139" t="s">
        <v>134</v>
      </c>
    </row>
    <row r="41" spans="1:3" ht="15.75">
      <c r="A41" s="139" t="s">
        <v>135</v>
      </c>
    </row>
    <row r="42" spans="1:3" ht="15.75">
      <c r="A42" s="139" t="s">
        <v>136</v>
      </c>
    </row>
    <row r="43" spans="1:3" ht="15.75">
      <c r="A43" s="135"/>
    </row>
    <row r="44" spans="1:3">
      <c r="A44" s="140" t="s">
        <v>137</v>
      </c>
    </row>
    <row r="45" spans="1:3">
      <c r="A45" s="141"/>
    </row>
    <row r="46" spans="1:3" ht="75">
      <c r="A46" s="226" t="s">
        <v>339</v>
      </c>
      <c r="C46" s="227" t="s">
        <v>338</v>
      </c>
    </row>
    <row r="47" spans="1:3" ht="9.75" customHeight="1">
      <c r="A47" s="142"/>
    </row>
    <row r="48" spans="1:3" ht="9.75" customHeight="1">
      <c r="A48" s="142"/>
    </row>
    <row r="49" spans="1:1" ht="30">
      <c r="A49" s="226" t="s">
        <v>340</v>
      </c>
    </row>
    <row r="50" spans="1:1" ht="30">
      <c r="A50" s="228" t="s">
        <v>341</v>
      </c>
    </row>
    <row r="51" spans="1:1">
      <c r="A51" s="228" t="s">
        <v>342</v>
      </c>
    </row>
    <row r="52" spans="1:1" ht="30">
      <c r="A52" s="228" t="s">
        <v>343</v>
      </c>
    </row>
    <row r="53" spans="1:1">
      <c r="A53" s="228" t="s">
        <v>344</v>
      </c>
    </row>
    <row r="54" spans="1:1">
      <c r="A54" s="228" t="s">
        <v>345</v>
      </c>
    </row>
    <row r="55" spans="1:1">
      <c r="A55" s="228" t="s">
        <v>346</v>
      </c>
    </row>
    <row r="56" spans="1:1" ht="12" customHeight="1">
      <c r="A56" s="228"/>
    </row>
    <row r="57" spans="1:1" ht="11.25" customHeight="1">
      <c r="A57" s="228"/>
    </row>
    <row r="58" spans="1:1" ht="75">
      <c r="A58" s="228" t="s">
        <v>347</v>
      </c>
    </row>
    <row r="59" spans="1:1" ht="15.75">
      <c r="A59" s="142"/>
    </row>
    <row r="60" spans="1:1">
      <c r="A60" s="140" t="s">
        <v>138</v>
      </c>
    </row>
    <row r="61" spans="1:1" ht="15.75">
      <c r="A61" s="142"/>
    </row>
    <row r="62" spans="1:1" ht="15.75">
      <c r="A62" s="143" t="s">
        <v>139</v>
      </c>
    </row>
    <row r="63" spans="1:1" ht="15.75">
      <c r="A63" s="144" t="s">
        <v>140</v>
      </c>
    </row>
    <row r="64" spans="1:1" ht="15.75">
      <c r="A64" s="144"/>
    </row>
    <row r="65" spans="1:1" ht="15.75">
      <c r="A65" s="142" t="s">
        <v>141</v>
      </c>
    </row>
    <row r="66" spans="1:1" ht="31.5">
      <c r="A66" s="145" t="s">
        <v>352</v>
      </c>
    </row>
    <row r="67" spans="1:1" ht="15.75">
      <c r="A67" s="145" t="s">
        <v>142</v>
      </c>
    </row>
    <row r="68" spans="1:1" ht="15.75">
      <c r="A68" s="145" t="s">
        <v>143</v>
      </c>
    </row>
    <row r="69" spans="1:1" ht="15.75">
      <c r="A69" s="145" t="s">
        <v>144</v>
      </c>
    </row>
    <row r="70" spans="1:1" ht="31.5">
      <c r="A70" s="145" t="s">
        <v>145</v>
      </c>
    </row>
    <row r="71" spans="1:1" ht="31.5">
      <c r="A71" s="145" t="s">
        <v>146</v>
      </c>
    </row>
    <row r="72" spans="1:1" ht="18.75" customHeight="1">
      <c r="A72" s="142" t="s">
        <v>348</v>
      </c>
    </row>
    <row r="73" spans="1:1" ht="15" customHeight="1">
      <c r="A73" s="142" t="s">
        <v>147</v>
      </c>
    </row>
    <row r="74" spans="1:1" ht="15.75">
      <c r="A74" s="142"/>
    </row>
    <row r="75" spans="1:1" ht="15.75">
      <c r="A75" s="143" t="s">
        <v>361</v>
      </c>
    </row>
    <row r="76" spans="1:1" ht="15.75">
      <c r="A76" s="144"/>
    </row>
    <row r="77" spans="1:1" ht="47.25">
      <c r="A77" s="144" t="s">
        <v>353</v>
      </c>
    </row>
    <row r="78" spans="1:1" ht="15.75">
      <c r="A78" s="142" t="s">
        <v>148</v>
      </c>
    </row>
    <row r="79" spans="1:1" ht="15.75">
      <c r="A79" s="142" t="s">
        <v>149</v>
      </c>
    </row>
    <row r="80" spans="1:1" ht="63">
      <c r="A80" s="142" t="s">
        <v>349</v>
      </c>
    </row>
    <row r="81" spans="1:3" ht="31.5">
      <c r="A81" s="142" t="s">
        <v>351</v>
      </c>
    </row>
    <row r="82" spans="1:3" ht="31.5">
      <c r="A82" s="229" t="s">
        <v>350</v>
      </c>
    </row>
    <row r="83" spans="1:3" ht="15.75">
      <c r="A83" s="229"/>
    </row>
    <row r="84" spans="1:3" ht="15.75">
      <c r="A84" s="231" t="s">
        <v>137</v>
      </c>
    </row>
    <row r="85" spans="1:3">
      <c r="A85" s="146"/>
    </row>
    <row r="86" spans="1:3" ht="31.5">
      <c r="A86" s="147" t="s">
        <v>355</v>
      </c>
      <c r="C86" s="230" t="s">
        <v>354</v>
      </c>
    </row>
    <row r="87" spans="1:3" ht="15.75">
      <c r="A87" s="147"/>
    </row>
    <row r="88" spans="1:3" ht="15.75">
      <c r="A88" s="135"/>
    </row>
    <row r="89" spans="1:3" ht="16.5" thickBot="1">
      <c r="A89" s="151" t="s">
        <v>150</v>
      </c>
    </row>
    <row r="90" spans="1:3" ht="16.5" thickTop="1">
      <c r="A90" s="143"/>
    </row>
    <row r="91" spans="1:3" ht="15.75">
      <c r="A91" s="143" t="s">
        <v>362</v>
      </c>
    </row>
    <row r="92" spans="1:3" ht="15.75">
      <c r="A92" s="142" t="s">
        <v>356</v>
      </c>
    </row>
    <row r="93" spans="1:3" ht="15.75">
      <c r="A93" s="229" t="s">
        <v>363</v>
      </c>
    </row>
    <row r="94" spans="1:3" ht="15.75">
      <c r="A94" s="229" t="s">
        <v>364</v>
      </c>
    </row>
    <row r="95" spans="1:3" ht="31.5">
      <c r="A95" s="142" t="s">
        <v>357</v>
      </c>
    </row>
    <row r="96" spans="1:3" ht="15.75">
      <c r="A96" s="142" t="s">
        <v>358</v>
      </c>
    </row>
    <row r="97" spans="1:1" ht="15.75">
      <c r="A97" s="142" t="s">
        <v>359</v>
      </c>
    </row>
    <row r="98" spans="1:1" ht="15.75">
      <c r="A98" s="142" t="s">
        <v>360</v>
      </c>
    </row>
    <row r="99" spans="1:1" ht="15.75">
      <c r="A99" s="143"/>
    </row>
    <row r="100" spans="1:1" ht="63">
      <c r="A100" s="148" t="s">
        <v>151</v>
      </c>
    </row>
    <row r="101" spans="1:1" ht="15.75">
      <c r="A101" s="142"/>
    </row>
    <row r="102" spans="1:1" ht="31.5">
      <c r="A102" s="143" t="s">
        <v>152</v>
      </c>
    </row>
    <row r="103" spans="1:1" ht="15.75">
      <c r="A103" s="149"/>
    </row>
    <row r="104" spans="1:1" ht="15.75">
      <c r="A104" s="135"/>
    </row>
    <row r="105" spans="1:1" ht="16.5" thickBot="1">
      <c r="A105" s="151" t="s">
        <v>365</v>
      </c>
    </row>
    <row r="106" spans="1:1" ht="16.5" thickTop="1">
      <c r="A106" s="144"/>
    </row>
    <row r="107" spans="1:1" ht="15.75">
      <c r="A107" s="142" t="s">
        <v>154</v>
      </c>
    </row>
    <row r="108" spans="1:1" ht="3.75" customHeight="1">
      <c r="A108" s="144"/>
    </row>
    <row r="109" spans="1:1" ht="31.5">
      <c r="A109" s="142" t="s">
        <v>155</v>
      </c>
    </row>
    <row r="110" spans="1:1" ht="9" customHeight="1">
      <c r="A110" s="142"/>
    </row>
    <row r="111" spans="1:1" ht="15.75">
      <c r="A111" s="142" t="s">
        <v>156</v>
      </c>
    </row>
    <row r="112" spans="1:1" ht="6.75" customHeight="1">
      <c r="A112" s="142"/>
    </row>
    <row r="113" spans="1:1" ht="31.5">
      <c r="A113" s="142" t="s">
        <v>157</v>
      </c>
    </row>
    <row r="114" spans="1:1" ht="15.75">
      <c r="A114" s="142"/>
    </row>
    <row r="115" spans="1:1" ht="31.5">
      <c r="A115" s="142" t="s">
        <v>158</v>
      </c>
    </row>
    <row r="116" spans="1:1" ht="6.75" customHeight="1">
      <c r="A116" s="142"/>
    </row>
    <row r="117" spans="1:1" ht="15.75">
      <c r="A117" s="143" t="s">
        <v>159</v>
      </c>
    </row>
    <row r="118" spans="1:1" ht="7.5" customHeight="1">
      <c r="A118" s="142"/>
    </row>
    <row r="119" spans="1:1" ht="15.75">
      <c r="A119" s="145" t="s">
        <v>160</v>
      </c>
    </row>
    <row r="120" spans="1:1" ht="15.75">
      <c r="A120" s="145" t="s">
        <v>161</v>
      </c>
    </row>
    <row r="121" spans="1:1" ht="15.75">
      <c r="A121" s="145" t="s">
        <v>162</v>
      </c>
    </row>
    <row r="122" spans="1:1" ht="15.75">
      <c r="A122" s="145" t="s">
        <v>163</v>
      </c>
    </row>
    <row r="123" spans="1:1" ht="15.75">
      <c r="A123" s="145" t="s">
        <v>164</v>
      </c>
    </row>
    <row r="124" spans="1:1" ht="15.75">
      <c r="A124" s="145" t="s">
        <v>165</v>
      </c>
    </row>
    <row r="125" spans="1:1" ht="15.75">
      <c r="A125" s="145" t="s">
        <v>166</v>
      </c>
    </row>
    <row r="126" spans="1:1" ht="15.75">
      <c r="A126" s="145" t="s">
        <v>167</v>
      </c>
    </row>
    <row r="127" spans="1:1" ht="15.75">
      <c r="A127" s="145" t="s">
        <v>168</v>
      </c>
    </row>
    <row r="128" spans="1:1" ht="15.75">
      <c r="A128" s="145" t="s">
        <v>169</v>
      </c>
    </row>
    <row r="129" spans="1:1" ht="15.75">
      <c r="A129" s="145" t="s">
        <v>170</v>
      </c>
    </row>
    <row r="130" spans="1:1" ht="15.75">
      <c r="A130" s="145" t="s">
        <v>171</v>
      </c>
    </row>
    <row r="131" spans="1:1" ht="15.75">
      <c r="A131" s="145" t="s">
        <v>172</v>
      </c>
    </row>
    <row r="132" spans="1:1" ht="15.75">
      <c r="A132" s="145" t="s">
        <v>173</v>
      </c>
    </row>
    <row r="133" spans="1:1" ht="15.75">
      <c r="A133" s="145" t="s">
        <v>174</v>
      </c>
    </row>
    <row r="134" spans="1:1" ht="15.75">
      <c r="A134" s="145" t="s">
        <v>175</v>
      </c>
    </row>
    <row r="135" spans="1:1" ht="15.75">
      <c r="A135" s="145" t="s">
        <v>176</v>
      </c>
    </row>
    <row r="136" spans="1:1" ht="15.75">
      <c r="A136" s="145" t="s">
        <v>177</v>
      </c>
    </row>
    <row r="137" spans="1:1" ht="15.75">
      <c r="A137" s="145" t="s">
        <v>178</v>
      </c>
    </row>
    <row r="138" spans="1:1" ht="8.25" customHeight="1">
      <c r="A138" s="142"/>
    </row>
    <row r="139" spans="1:1" ht="47.25">
      <c r="A139" s="142" t="s">
        <v>179</v>
      </c>
    </row>
    <row r="140" spans="1:1" ht="15.75">
      <c r="A140" s="142"/>
    </row>
    <row r="141" spans="1:1" ht="15.75">
      <c r="A141" s="142" t="s">
        <v>180</v>
      </c>
    </row>
    <row r="142" spans="1:1" ht="15.75">
      <c r="A142" s="142"/>
    </row>
    <row r="143" spans="1:1" ht="47.25">
      <c r="A143" s="143" t="s">
        <v>366</v>
      </c>
    </row>
    <row r="144" spans="1:1" ht="15.75">
      <c r="A144" s="142"/>
    </row>
    <row r="145" spans="1:1" ht="31.5">
      <c r="A145" s="142" t="s">
        <v>181</v>
      </c>
    </row>
    <row r="146" spans="1:1" ht="15.75">
      <c r="A146" s="143"/>
    </row>
    <row r="147" spans="1:1" ht="15.75">
      <c r="A147" s="148" t="s">
        <v>182</v>
      </c>
    </row>
    <row r="148" spans="1:1" ht="15.75">
      <c r="A148" s="149"/>
    </row>
    <row r="149" spans="1:1" ht="31.5">
      <c r="A149" s="148" t="s">
        <v>183</v>
      </c>
    </row>
    <row r="150" spans="1:1" ht="15.75">
      <c r="A150" s="144"/>
    </row>
    <row r="151" spans="1:1" ht="47.25">
      <c r="A151" s="142" t="s">
        <v>184</v>
      </c>
    </row>
    <row r="152" spans="1:1" ht="15.75">
      <c r="A152" s="142"/>
    </row>
  </sheetData>
  <autoFilter ref="A1:A5" xr:uid="{00000000-0009-0000-0000-000002000000}">
    <filterColumn colId="0">
      <filters>
        <filter val="3.- LIBRO DE CERTIFICADO DE APORTACIONES."/>
      </filters>
    </filterColumn>
  </autoFilter>
  <hyperlinks>
    <hyperlink ref="A2" location="ANEXOS!A11" display="LIBROS SOCIETARIOS" xr:uid="{00000000-0004-0000-0200-000000000000}"/>
    <hyperlink ref="A3" location="ANEXOS!A32" display="1.- LIBRO DE ACTAS / 2.- LIBRO DE EXPEDINETES." xr:uid="{00000000-0004-0000-0200-000001000000}"/>
    <hyperlink ref="A4" location="ANEXOS!A74" display="3.- LIBRO DE CERTIFICADO DE APORTACIONES." xr:uid="{00000000-0004-0000-0200-000002000000}"/>
    <hyperlink ref="A5" location="ANEXOS!A84" display="4.- LIBRO DE PARTICIPACIONES O LIBRO  DE ACCIONES y ACCIONISTAS: " xr:uid="{00000000-0004-0000-0200-000003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RECOPILACIÓN</vt:lpstr>
      <vt:lpstr>REDACCIÓN</vt:lpstr>
      <vt:lpstr>CUESTIONARIO</vt:lpstr>
      <vt:lpstr>PLANIFICACIÓN</vt:lpstr>
      <vt:lpstr>ANEXOS</vt:lpstr>
      <vt:lpstr>CUESTIONARIO!Área_de_impresión</vt:lpstr>
      <vt:lpstr>PLANIFICACIÓN!Área_de_impresión</vt:lpstr>
      <vt:lpstr>RECOPILACIÓN!Área_de_impresión</vt:lpstr>
      <vt:lpstr>REDACCIÓN!Área_de_impresión</vt:lpstr>
      <vt:lpstr>CUESTIONARIO!Títulos_a_imprimir</vt:lpstr>
      <vt:lpstr>PLANIFICACIÓN!Títulos_a_imprimir</vt:lpstr>
      <vt:lpstr>REDACCIÓN!Títulos_a_imprimir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2021-10-22T15:47:31Z</cp:lastPrinted>
  <dcterms:created xsi:type="dcterms:W3CDTF">2019-07-29T15:40:38Z</dcterms:created>
  <dcterms:modified xsi:type="dcterms:W3CDTF">2023-09-29T16:42:23Z</dcterms:modified>
</cp:coreProperties>
</file>