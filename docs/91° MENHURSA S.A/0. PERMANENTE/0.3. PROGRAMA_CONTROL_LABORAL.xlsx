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Auditoria nico\2023\Elizabeth\91) TABACALERA MENHURSA S.A\0. PERMANENTE\"/>
    </mc:Choice>
  </mc:AlternateContent>
  <xr:revisionPtr revIDLastSave="0" documentId="13_ncr:1_{22A47E4D-53A1-4AEA-94C1-5720C99CD428}" xr6:coauthVersionLast="47" xr6:coauthVersionMax="47" xr10:uidLastSave="{00000000-0000-0000-0000-000000000000}"/>
  <bookViews>
    <workbookView xWindow="-120" yWindow="-120" windowWidth="20730" windowHeight="11040" activeTab="3" xr2:uid="{00000000-000D-0000-FFFF-FFFF00000000}"/>
  </bookViews>
  <sheets>
    <sheet name="CUESTIONARIO1" sheetId="3" r:id="rId1"/>
    <sheet name="ENTREVISTA" sheetId="4" r:id="rId2"/>
    <sheet name="BASE LEGAL" sheetId="1" r:id="rId3"/>
    <sheet name="RESUMEN" sheetId="2" r:id="rId4"/>
  </sheets>
  <definedNames>
    <definedName name="_xlnm._FilterDatabase" localSheetId="2" hidden="1">'BASE LEGAL'!$E$1:$E$19</definedName>
    <definedName name="_xlnm._FilterDatabase" localSheetId="0" hidden="1">CUESTIONARIO1!$B$18:$M$48</definedName>
    <definedName name="_xlnm.Print_Area" localSheetId="2">'BASE LEGAL'!$B$1:$F$19</definedName>
    <definedName name="_xlnm.Print_Area" localSheetId="0">CUESTIONARIO1!$B$1:$M$61</definedName>
    <definedName name="_xlnm.Print_Area" localSheetId="1">ENTREVISTA!$B$1:$F$69</definedName>
    <definedName name="_xlnm.Print_Titles" localSheetId="1">ENTREVISTA!$1:$7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4" l="1"/>
  <c r="F8" i="4"/>
  <c r="L50" i="3" l="1"/>
  <c r="L49" i="3"/>
  <c r="L48" i="3"/>
  <c r="L47" i="3"/>
  <c r="L45" i="3"/>
  <c r="L44" i="3"/>
  <c r="L43" i="3"/>
  <c r="L42" i="3"/>
  <c r="L41" i="3"/>
  <c r="L40" i="3"/>
  <c r="L37" i="3"/>
  <c r="L36" i="3"/>
  <c r="L35" i="3"/>
  <c r="L34" i="3"/>
  <c r="L32" i="3"/>
  <c r="L31" i="3"/>
  <c r="L30" i="3"/>
  <c r="L27" i="3"/>
  <c r="L26" i="3"/>
  <c r="L25" i="3"/>
  <c r="L24" i="3"/>
  <c r="L22" i="3"/>
  <c r="L21" i="3"/>
  <c r="L20" i="3"/>
  <c r="L57" i="3" l="1"/>
  <c r="K58" i="3" s="1"/>
</calcChain>
</file>

<file path=xl/sharedStrings.xml><?xml version="1.0" encoding="utf-8"?>
<sst xmlns="http://schemas.openxmlformats.org/spreadsheetml/2006/main" count="393" uniqueCount="245">
  <si>
    <t>Art. 434.- Reglamento de higiene y seguridad.- En todo medio colectivo y permanente de trabajo que cuente con más de diez trabajadores, los empleadores están obligados a elaborar y someter a la aprobación del Ministerio de Trabajo y Empleo por medio de la Dirección Regional del Trabajo, un reglamento de higiene y seguridad, el mismo que será renovado cada dos años.</t>
  </si>
  <si>
    <t>CODIGO DE TRABAJO</t>
  </si>
  <si>
    <t>Art. 434.- Reglamento de higiene y seguridad</t>
  </si>
  <si>
    <t>10 O + trabajadores</t>
  </si>
  <si>
    <t>Art 42. literal 6. Si se trata de fábricas u otras empresas que tuvieren diez o más trabajadores, establecer almacenes de artículos de primera necesidad para suministrarlos a precios de costo a ellos y a sus familias, en la cantidad necesaria para su subsistencia. Las empresas cumplirán esta obligación directamente mediante el establecimiento de su propio comisariato o mediante la contratación de este servicio conjuntamente con otras empresas o con terceros.</t>
  </si>
  <si>
    <t>Art 42 Almacenes de Artículos de primera necesidad al costo</t>
  </si>
  <si>
    <t xml:space="preserve">Art 42 literal 4. Establecer comedores para los trabajadores cuando éstos laboren en número de cincuenta o más en la fábrica o empresa, y los locales de trabajo estuvieren situados a más de dos kilómetros de la población más cercana;
</t>
  </si>
  <si>
    <t xml:space="preserve">Art 42 literal 4. comedores </t>
  </si>
  <si>
    <t>50 o + trabajadores</t>
  </si>
  <si>
    <t>Art. 155.- Guardería infantil y lactancia.- En las empresas permanentes de trabajo que cuenten con cincuenta o más trabajadores, el empleador establecerá anexo o próximo a la empresa, o centro de trabajo, un servicio de guardería infantil para la atención de los hijos de éstos, suministrando gratuitamente atención, alimentación, local e implementos para este servicio.</t>
  </si>
  <si>
    <t>¿¿¿¿¿¿</t>
  </si>
  <si>
    <t>¿¿¿¿¿¿¿¿¿¿¿¿</t>
  </si>
  <si>
    <t>¿¿¿¿¿¿¿¿</t>
  </si>
  <si>
    <t>¿¿¿¿</t>
  </si>
  <si>
    <t>¿¿¿¿¿¿¿</t>
  </si>
  <si>
    <t>Art. 155.- Guardería infantil y lactancia</t>
  </si>
  <si>
    <t xml:space="preserve">Art 42, literal 24. La empresa que cuente con cien o más trabajadores está obligada a contratar los servicios de un trabajador social titulado. Las que tuvieren trescientos o más, contratarán otro trabajador social por cada trescientos de excedente. Las atribuciones y deberes de tales trabajadores sociales serán los inherentes a su función y a los que se determinen en el título pertinente a la "Organización, Competencia y Procedimiento";
</t>
  </si>
  <si>
    <t>100 o + trabajadores</t>
  </si>
  <si>
    <t>Art 42, literal 24. Contratar un trabajador social titulado</t>
  </si>
  <si>
    <t>Art 430, Literal 2 Contratar Servicio Médico</t>
  </si>
  <si>
    <t>Art 42. Literal 33. El empleador público o privado, que cuente con un número mínimo de veinticinco trabajadores, está obligado a contratar, al menos, a una persona con discapacidad, en labores permanentes que se consideren apropiadas en relación con sus conocimientos, condición física y aptitudes individuales, observándose los principios de equidad de género y diversidad de discapacidad, en el primer año de vigencia de esta Ley, contado desde la fecha de su publicación en el Registro Oficial. En el segundo año, la contratación será del 1% del total de los trabajadores, en el tercer año el 2%, en el cuarto año el 3% hasta llegar al quinto año en donde la contratación será del 4% del total de los trabajadores, siendo ese el porcentaje fijo que se aplicará en los sucesivos años.</t>
  </si>
  <si>
    <t>Art 42. Al menos una persona con discapacidad</t>
  </si>
  <si>
    <t>25 o + trabajadores</t>
  </si>
  <si>
    <t>Art 430, literal 2. El empleador que tuviere más de cien trabajadores establecerá en el lugar de trabajo, en un local adecuado para el efecto, un servicio médico permanente, el mismo que, a más de cumplir con lo determinado en el numeral anterior, proporcionará a todos los trabajadores, medicina laboral preventiva. Este servicio contará con el personal médico y  paramédico necesario y estará sujeto a la reglamentación dictada por el Ministerio de Trabajo y Empleo y supervigilado por el Ministerio de Salud; y,</t>
  </si>
  <si>
    <t>1 o + trabajadores</t>
  </si>
  <si>
    <t> INSTRUCTIVO PARA EL REGISTRO DE REGLAMENTOS Y COMITÉS DE HIGIENE Y SEGURIDAD EN EL TRABAJO</t>
  </si>
  <si>
    <t xml:space="preserve">Art. 3.- De la obligatoriedad.- El empleador con más de diez trabajadores deberá registrar el reglamento de higiene y seguridad, o sus respectivas renovaciones de acuerdo con la naturaleza de la gestión.
</t>
  </si>
  <si>
    <t>Art. 3.- registrar el reglamento de higiene y seguridad</t>
  </si>
  <si>
    <t>REGLAMENTO DE SEGURIDAD Y SALUD DE LOS TRABAJADORES</t>
  </si>
  <si>
    <t>¿¿¿¿¿¿¿¿¿¿¿¿¿</t>
  </si>
  <si>
    <t>Art. 14.- 1. organizarse un Comité de Seguridad e Higiene del Trabajo</t>
  </si>
  <si>
    <t>15 o + trabajadores</t>
  </si>
  <si>
    <t xml:space="preserve">Art. 46.- SERVICIOS DE PRIMEROS AUXILIOS.
Todos los centros de trabajo dispondrán de un botiquín de emergencia para la prestación de primeros auxilios a los trabajadores durante la jornada de trabajo. Si el centro tuviera 25 o más trabajadores simultáneos, dispondrá además, de un local destinado a enfermería. El empleador garantizará el buen funcionamiento de estos servicios, debiendo proveer de entrenamiento necesario a fin de que por lo menos un trabajador de cada turno tenga conocimientos de primeros auxilios.
</t>
  </si>
  <si>
    <t xml:space="preserve">Art. 46.- botiquín de emergencia para la prestación de primeros auxilios </t>
  </si>
  <si>
    <t>1 a 9 Trabajadores</t>
  </si>
  <si>
    <t>INSTRUMENTO ANDINO DE SEGURIDAD</t>
  </si>
  <si>
    <t>Art. 64.- Reglamento interno.- Las fábricas y todos los establecimientos de trabajo colectivo elevarán a la Dirección Regional del Trabajo en sus respectivas jurisdicciones, copia legalizada del horario y del reglamento interno para su aprobación.</t>
  </si>
  <si>
    <t>Número de empleados</t>
  </si>
  <si>
    <t>Clasificación de la empresa</t>
  </si>
  <si>
    <t>Requerimientos</t>
  </si>
  <si>
    <t>Ejecución</t>
  </si>
  <si>
    <t>Fuente</t>
  </si>
  <si>
    <t>Núm Empleados</t>
  </si>
  <si>
    <t>Requisito</t>
  </si>
  <si>
    <t>Base Legal</t>
  </si>
  <si>
    <t>COMPAÑÍA:</t>
  </si>
  <si>
    <t>PERÍODO:</t>
  </si>
  <si>
    <t>ÁREA:</t>
  </si>
  <si>
    <t>ELABORADO POR:</t>
  </si>
  <si>
    <t>FECHA:</t>
  </si>
  <si>
    <t>CUMPLIMIENTO</t>
  </si>
  <si>
    <t>CALIFICACIÓN</t>
  </si>
  <si>
    <t>Firma y sello</t>
  </si>
  <si>
    <t>X</t>
  </si>
  <si>
    <t>No Cumple.</t>
  </si>
  <si>
    <t>✔</t>
  </si>
  <si>
    <t>Si Cumple.</t>
  </si>
  <si>
    <t>N/A</t>
  </si>
  <si>
    <t>No Aplica.</t>
  </si>
  <si>
    <t>-</t>
  </si>
  <si>
    <t>OBJETIVOS:</t>
  </si>
  <si>
    <t>REF</t>
  </si>
  <si>
    <t>N°</t>
  </si>
  <si>
    <t>PREGUNTA</t>
  </si>
  <si>
    <t>AÑO ACTUAL</t>
  </si>
  <si>
    <t>PERÍODOS ANTERIORES</t>
  </si>
  <si>
    <t>CAL</t>
  </si>
  <si>
    <t>OBSERVACIÓN</t>
  </si>
  <si>
    <t>¿</t>
  </si>
  <si>
    <t>% Cumplimiento</t>
  </si>
  <si>
    <t>RIESGO</t>
  </si>
  <si>
    <t>BAJO</t>
  </si>
  <si>
    <t>61% al 100%</t>
  </si>
  <si>
    <t>MODERADO</t>
  </si>
  <si>
    <t>31% al 60%</t>
  </si>
  <si>
    <t>ALTO</t>
  </si>
  <si>
    <t>1% al 30%</t>
  </si>
  <si>
    <t>Art 64. Reglamento Interno de Trabajo.</t>
  </si>
  <si>
    <t>Art. 13. Delegado de  Seguridad y Salud en el Trabajo</t>
  </si>
  <si>
    <t>Art 42 Almacenes de Artículos de primera necesidad al costo (si se trata de fábricas)</t>
  </si>
  <si>
    <t>15 o más Trabajadores</t>
  </si>
  <si>
    <t>25 o más trabajadores</t>
  </si>
  <si>
    <t>50 o más Trabajadores</t>
  </si>
  <si>
    <t>10 a más trabajadores</t>
  </si>
  <si>
    <t>Art. 14.- 1. organizarse un Comité paritario de Seguridad e Higiene del Trabajo</t>
  </si>
  <si>
    <t>BASE LEGAL</t>
  </si>
  <si>
    <t>FECHA DE ACTUALIZACIÓN</t>
  </si>
  <si>
    <t>3 ANG</t>
  </si>
  <si>
    <t>COMPAÑÍA</t>
  </si>
  <si>
    <t>* INSTRUMENTO ANDINO DE SEGURIDAD Y SALUD EN EL TRABAJO Actualizado al 15 de Noviembre del 2004</t>
  </si>
  <si>
    <t>* REGLAMENTO DEL INSTRUCTIVO ANDINO DE SEGURIDAD Y SALUD EN EL TRABAJO Actualizado al 12 de Marzo del 2008</t>
  </si>
  <si>
    <t>* Verificar el Cumplimiento de las disposiciones laborales emitidas por los organismos de control.</t>
  </si>
  <si>
    <t>CUESTIONARIO DE AUDITORÍA SOBRE EL CUMPLIMIENTO LABORAL EN SEGURIDAD Y SALUD</t>
  </si>
  <si>
    <t>INSTRUCCIONES</t>
  </si>
  <si>
    <t>Filtre según el número de empleados de compañía a auditar</t>
  </si>
  <si>
    <t>1. En las empresas permanentes que cuenten con cien o más trabajadores estables, se deberá contar con una Unidad de Seguridad e Higiene, dirigido por un técnico en la materia, que reportará a la más alta autoridad de la empresa o entidad.</t>
  </si>
  <si>
    <t xml:space="preserve"> Unidad de Seguridad e Higiene, dirigido por un técnico en la materia</t>
  </si>
  <si>
    <t>Art. 14.- 1. En todo centro de trabajo en que laboren más de quince trabajadores deberá organizarse un Comité de Seguridad e Higiene del Trabajo integrado en forma paritaria por tres representantes de los trabajadores y tres representantes de los empleadores, quienes de entre sus miembros designarán un Presidente y Secretario que durará un año en sus funciones pudiendo ser reelegidos indefinidamente. Si el Presidente representa al empleador, el Secretario representará a los trabajadores y viceversa. Cada representante tendrá un suplente elegido de la misma forma que el titular y que será principalizado en caso de falta o impedimento de éste. Concluido el período para el que fueron elegidos deberá designarse al Presidente y Secretario.</t>
  </si>
  <si>
    <t>Art. 13.- En aquellas empresas que no cuenten con un Comité de Seguridad y Salud en el Trabajo, por no alcanzar el número mínimo de trabajadores establecido para este fin en la legislación nacional correspondiente, se designará un Delegado de Seguridad y Salud en el Trabajo. Dicho Delegado será elegido democráticamente por los trabajadores, de entre ellos mismos.</t>
  </si>
  <si>
    <t>1 a 9</t>
  </si>
  <si>
    <t>Microempresa</t>
  </si>
  <si>
    <t>Botiquin de primeros auxilios</t>
  </si>
  <si>
    <t>Delegado de Seguridad y Salud Responsable de la prevención de Riesgos</t>
  </si>
  <si>
    <t>Diagnóstico de Riesgos</t>
  </si>
  <si>
    <t>Política empresarial</t>
  </si>
  <si>
    <t>Plan mínimo de prevención de
riesgos</t>
  </si>
  <si>
    <t>Certificados de salud MSP</t>
  </si>
  <si>
    <t>Exámenes médicos preventivos</t>
  </si>
  <si>
    <t>10 a 49</t>
  </si>
  <si>
    <t>Pequeña Empresa</t>
  </si>
  <si>
    <t>Comité paritario de Seguridad e Higiene</t>
  </si>
  <si>
    <t>Reglamento Interno de Trabajo</t>
  </si>
  <si>
    <t>Servicio de enfermería</t>
  </si>
  <si>
    <t>Responsable de prevención de Riesgos</t>
  </si>
  <si>
    <t>Reglamento Interno de SST</t>
  </si>
  <si>
    <t>Programa de prevención</t>
  </si>
  <si>
    <t>Programa de capacitación</t>
  </si>
  <si>
    <t>Registro de Accidentes e incidentes</t>
  </si>
  <si>
    <t>Planes de Emergencia</t>
  </si>
  <si>
    <t>50 a 99</t>
  </si>
  <si>
    <t>Mediana Empresa</t>
  </si>
  <si>
    <t>Responsable de Prevención de Riesgos</t>
  </si>
  <si>
    <t>Servicio de enfermería o servicio médico</t>
  </si>
  <si>
    <t>Diagnóstico de  riesgos</t>
  </si>
  <si>
    <t>Programa de Prevención</t>
  </si>
  <si>
    <t>Registro de accidentes e
incidentes</t>
  </si>
  <si>
    <t>Registro de accidentes e incidentes</t>
  </si>
  <si>
    <t>Vigilancia de la salud</t>
  </si>
  <si>
    <t>Planes de emergencia</t>
  </si>
  <si>
    <t>100 a más</t>
  </si>
  <si>
    <t>Gran Empresa</t>
  </si>
  <si>
    <t>Sistema de Gestión de Seguridad y Salud :</t>
  </si>
  <si>
    <t>Unidad de Seguridad e Higiene</t>
  </si>
  <si>
    <t>Servicio Médico de Empresa</t>
  </si>
  <si>
    <t>Liderazgo gerencial</t>
  </si>
  <si>
    <t>REQUISITOS LEGALES EN SEGURIDAD Y SALUD SEGÚN TAMAÑO DE
LA EMPRESA</t>
  </si>
  <si>
    <t>LEGISLACIÓN LABORAL</t>
  </si>
  <si>
    <t>CONCLUSIÓN</t>
  </si>
  <si>
    <t>REVISADO POR:</t>
  </si>
  <si>
    <t>Actualizado al 26 de junio del 2019</t>
  </si>
  <si>
    <t>Actualizado al 15 de Noviembre del 2004</t>
  </si>
  <si>
    <t>Actualizado al 12 de Marzo del 2008</t>
  </si>
  <si>
    <t>fecha de actualización</t>
  </si>
  <si>
    <t>FECHA DE CONSULTA</t>
  </si>
  <si>
    <t>Elaborado por:</t>
  </si>
  <si>
    <t>fecha de consulta:</t>
  </si>
  <si>
    <t>* CODIGO DEL TRABAJO Actualizado al 22-jun.-2020</t>
  </si>
  <si>
    <t>* REGLAMENTO DE SEGURIDAD Y SALUD DE LOS TRABAJADORES Actualizado al 21 de ferero del 2003</t>
  </si>
  <si>
    <t>SUMA</t>
  </si>
  <si>
    <t>Actualizado al 22 de junio del 2020</t>
  </si>
  <si>
    <t>Actualizado al 14 de septiembre del 2020</t>
  </si>
  <si>
    <t>Actualizado al 21 de febrero del 2003</t>
  </si>
  <si>
    <t>Entrevista Area Recursos Humanos</t>
  </si>
  <si>
    <t>La presente entrevista será con el Encargado de Recursos Humanos para que de respuestas en cada una y pueda agregar sus comentarios. Las respuestas posteriormente serán verificadas para determinar las situaciones que se preguntan y respondan. De las preguntas debera entregar documentación que se solicite para su revisión.</t>
  </si>
  <si>
    <t>No</t>
  </si>
  <si>
    <t>Respuestas</t>
  </si>
  <si>
    <t xml:space="preserve">SI </t>
  </si>
  <si>
    <t>NO</t>
  </si>
  <si>
    <t>COMENTARIOS</t>
  </si>
  <si>
    <t>Se hacen pagos a empleados registrados que no se encuentran laborando en al entidad o no existen</t>
  </si>
  <si>
    <t>Todos los empleados cuentan con expedientes laborales</t>
  </si>
  <si>
    <t>Todos los empleados cuentan con contratos laborales</t>
  </si>
  <si>
    <t>Las nominas quién las elabora, revisa, autoriza, acredita y da visto bueno</t>
  </si>
  <si>
    <t>Quién es el responsable de revisar el registro de horarios de entradas y salidas de empleados</t>
  </si>
  <si>
    <t>Los empleados que rinden informe de sus actividades, quién les supervisa y autoriza</t>
  </si>
  <si>
    <t>Existen números de cuentas bancarias de empleados duplicadas</t>
  </si>
  <si>
    <t xml:space="preserve">Se hacen pagos de nómina sin las deducciones de seguridad social e impuestos </t>
  </si>
  <si>
    <t>Se pagan a empleados por días no trabajados o actividades no realizadas</t>
  </si>
  <si>
    <t>Se hacen pagos a los empleados que no corresponden al salario y no han sido autorizados</t>
  </si>
  <si>
    <t>Existe falta de información personal de los empleados no actualizada.</t>
  </si>
  <si>
    <t>Existen cuentas bancarias de nómina que no se encuentran a nombre de los empleados.</t>
  </si>
  <si>
    <t>Existen empleados con varias cuentas bancarias registradas</t>
  </si>
  <si>
    <t>Se han pagado cheques duplicados o acreditado.</t>
  </si>
  <si>
    <t>Se hacen pagos dos veces a empleados.</t>
  </si>
  <si>
    <t>Se pagan salarios superiores a los autorizados.</t>
  </si>
  <si>
    <t>Existen modificaciones a la asignación salarial inicialmente pactada, sin autorización.</t>
  </si>
  <si>
    <t>Hay cambios recurrentes en el archivo maestro de nómina</t>
  </si>
  <si>
    <t xml:space="preserve">Existen cambios recurrentes en la información personal de los colaboradores en un mismo año </t>
  </si>
  <si>
    <t>Existen información incompleta de los empleados</t>
  </si>
  <si>
    <t xml:space="preserve">Existe acceso remoto recurrente al archivo de nómina por otros empleados </t>
  </si>
  <si>
    <t>Existen errores en el modulo de nómina</t>
  </si>
  <si>
    <t>Están autorizadas largas jornadas de trabajo del personal de nómina</t>
  </si>
  <si>
    <t>Existen negación a la toma de vacaciones , promociones internas o traslados por parte del personal de nómina</t>
  </si>
  <si>
    <t>Existen incremento de los empleados temporales</t>
  </si>
  <si>
    <t>Existen empleados retirados que continúan en la nómina</t>
  </si>
  <si>
    <t xml:space="preserve">Se dan anticipos de salario </t>
  </si>
  <si>
    <t>Se ha originado incremento en la rotación de personal, sin justificar su contratación.</t>
  </si>
  <si>
    <t>Se dieron despidos de personal.</t>
  </si>
  <si>
    <t>Porque razón fueron despedidos.</t>
  </si>
  <si>
    <t>Como seleccionaron al personal contratado. Hubieron varios candidatos al puesto o no.</t>
  </si>
  <si>
    <t>Acreditan la experiencia laboral en sus expedientes personales.</t>
  </si>
  <si>
    <t>El personal por contrato presenta sus informes de trabajo.</t>
  </si>
  <si>
    <t>Quién aprueba los informes de trabajo del personal contratado.</t>
  </si>
  <si>
    <t>Existe cuenta bancaria de la cuenta del empleado en su expediente o en dónde.</t>
  </si>
  <si>
    <t xml:space="preserve">Existen certificados de estudio y licencias de conducir falsos </t>
  </si>
  <si>
    <t>Existen deducción por embargos con notificación judicial.</t>
  </si>
  <si>
    <t>Que empleados tienen embargos y que ya cumplieron con retener y pagar a la entidad solicitante.</t>
  </si>
  <si>
    <t>Existen afiliaciones a seguridad social de empleados fantasmas.</t>
  </si>
  <si>
    <t>Existen salarios diferentes para un mismo puesto, y porque razón.</t>
  </si>
  <si>
    <t>Firma:</t>
  </si>
  <si>
    <t>Nombre Completo:</t>
  </si>
  <si>
    <t>Cargo:</t>
  </si>
  <si>
    <t>Fecha:</t>
  </si>
  <si>
    <t>Los pagos a empleados se hacen directamente vía electrónica a su cuenta personal, sin previa autorización y revisión.</t>
  </si>
  <si>
    <t>Se pagan  horas extras no autorizadas o no laboradas sin informes de trabajo y autorizados.</t>
  </si>
  <si>
    <t xml:space="preserve">Quién o quienes tomaron la decisión de despedirlos. </t>
  </si>
  <si>
    <t xml:space="preserve">Quién autoriza los accesos al sistema </t>
  </si>
  <si>
    <t>Existe acta de autorización de acceso al sistema</t>
  </si>
  <si>
    <t>Que reglamento, ley o documento solicita que exista acta de autorización de acceso al sistema</t>
  </si>
  <si>
    <t>Se hicieron exámenes de prueba a empleados contratados.</t>
  </si>
  <si>
    <t>RECURSOS HUMANOS</t>
  </si>
  <si>
    <t>APROBADO POR :</t>
  </si>
  <si>
    <t>FECHA DE ELABORACIÓN:</t>
  </si>
  <si>
    <t>Auditor Encargado:</t>
  </si>
  <si>
    <t>¿Existen familiares en la empresa?</t>
  </si>
  <si>
    <t>Existe manual, reglamento o que documento sobre los perfiles de puestos en la empresa</t>
  </si>
  <si>
    <t xml:space="preserve">Art. 430 Literal 1.- Botiquín de emergencia para la prestación de primeros auxilios. </t>
  </si>
  <si>
    <t>Codigo de trabajo</t>
  </si>
  <si>
    <t>Reglamento del instructivo andino</t>
  </si>
  <si>
    <t>Reglamento de seguridad y salud</t>
  </si>
  <si>
    <t>Art 42. literal 33 Contratar Al menos una persona con discapacidad (revisar nómina)</t>
  </si>
  <si>
    <t>Art. 430.-dispondrá además, de un local destinado a enfermería</t>
  </si>
  <si>
    <t>Codigo de Trabajo</t>
  </si>
  <si>
    <t>Art. 46.-dispondrá de un botiquin de emergencia y además de un local destinado a enfermería</t>
  </si>
  <si>
    <t>Art 42. literal 33. Contratar Al menos una persona con discapacidad (revisar con nómina)</t>
  </si>
  <si>
    <t>100 o más trabajadores</t>
  </si>
  <si>
    <t>Art 430 literal 2. Servicio medico permanente y medicina preventiva</t>
  </si>
  <si>
    <t xml:space="preserve">Art 430 literal 3. Ordenar el traslado del trabajador a costo del empleador si fuera el caso </t>
  </si>
  <si>
    <t>Art. 42 literal 24 Contratar los servicios de un trabajador social titulado.
trabajador social titulado</t>
  </si>
  <si>
    <r>
      <rPr>
        <b/>
        <u/>
        <sz val="11"/>
        <rFont val="Times New Roman"/>
        <family val="1"/>
      </rPr>
      <t>PROCEDIMIENTO:</t>
    </r>
    <r>
      <rPr>
        <sz val="11"/>
        <rFont val="Times New Roman"/>
        <family val="1"/>
      </rPr>
      <t xml:space="preserve"> Divida la suma (celdaL50) para el total de preguntas formuladas.</t>
    </r>
  </si>
  <si>
    <t>********</t>
  </si>
  <si>
    <t>******</t>
  </si>
  <si>
    <t>** de ***** del 2022</t>
  </si>
  <si>
    <t>Kely Balarezo</t>
  </si>
  <si>
    <t>¿¿</t>
  </si>
  <si>
    <t>Art 46. SERVICIOS DE PRIMEROS AUXILIOS</t>
  </si>
  <si>
    <t>Todos los centros de trabajo dispondrán de un botiquín de emergencia para la prestación de primeros auxilios a los trabajadores durante la jornada de trabajo. Si el centro tuviera 25 o trabajadores simultáneos, dispondrá además, de un local destinado a enfermería. El empleador garantizará el buen funcionamiento de estos servicios, debiendo proveer de entrenamiento necesario a fin de que por lo menos un trabajador de cada turno tenga conocimientos de primeros auxilios.</t>
  </si>
  <si>
    <t xml:space="preserve">Actualizado al 21 de febrero 2003 </t>
  </si>
  <si>
    <t>Art. 46.- Dispondrá de un botiquin de emergencia y además de un local destinado a enfermería</t>
  </si>
  <si>
    <t>Servicios de Primeros Auxilios</t>
  </si>
  <si>
    <r>
      <t xml:space="preserve">APROBADO POR: </t>
    </r>
    <r>
      <rPr>
        <b/>
        <sz val="12"/>
        <color rgb="FFFF0000"/>
        <rFont val="Calibri Light"/>
        <family val="2"/>
        <scheme val="major"/>
      </rPr>
      <t>R.C.</t>
    </r>
  </si>
  <si>
    <t>Roy Cisneros</t>
  </si>
  <si>
    <t>Actualizado a octubre-2022</t>
  </si>
  <si>
    <t>TABACALERA MENHURSA S.A.</t>
  </si>
  <si>
    <t>Del 01 de enero al 31 de diciembre del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</si>
</sst>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 ;\(#,##0\)"/>
  </numFmts>
  <fonts count="48"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Arial"/>
      <family val="2"/>
    </font>
    <font>
      <b/>
      <sz val="16"/>
      <color theme="1"/>
      <name val="Calibri Light"/>
      <family val="2"/>
      <scheme val="major"/>
    </font>
    <font>
      <b/>
      <sz val="13"/>
      <color theme="1"/>
      <name val="Times New Roman"/>
      <family val="1"/>
    </font>
    <font>
      <b/>
      <sz val="13"/>
      <color theme="1"/>
      <name val="Calibri Light"/>
      <family val="2"/>
      <scheme val="major"/>
    </font>
    <font>
      <sz val="16"/>
      <color theme="1"/>
      <name val="Times New Roman"/>
      <family val="1"/>
    </font>
    <font>
      <sz val="16"/>
      <color theme="1"/>
      <name val="Calibri Light"/>
      <family val="2"/>
      <scheme val="major"/>
    </font>
    <font>
      <sz val="12"/>
      <color theme="1"/>
      <name val="Times New Roman"/>
      <family val="1"/>
    </font>
    <font>
      <b/>
      <sz val="12"/>
      <color theme="1"/>
      <name val="Calibri Light"/>
      <family val="2"/>
      <scheme val="major"/>
    </font>
    <font>
      <sz val="12"/>
      <color theme="1"/>
      <name val="Calibri Light"/>
      <family val="2"/>
      <scheme val="major"/>
    </font>
    <font>
      <b/>
      <sz val="12"/>
      <color rgb="FFFF0000"/>
      <name val="Calibri Light"/>
      <family val="2"/>
      <scheme val="major"/>
    </font>
    <font>
      <b/>
      <u/>
      <sz val="11"/>
      <color rgb="FF002060"/>
      <name val="Calibri Light"/>
      <family val="2"/>
      <scheme val="major"/>
    </font>
    <font>
      <sz val="11"/>
      <color theme="1"/>
      <name val="Calibri Light"/>
      <family val="2"/>
      <scheme val="major"/>
    </font>
    <font>
      <b/>
      <sz val="20"/>
      <color theme="1"/>
      <name val="Calibri Light"/>
      <family val="2"/>
      <scheme val="major"/>
    </font>
    <font>
      <i/>
      <sz val="10"/>
      <color theme="1"/>
      <name val="Calibri Light"/>
      <family val="2"/>
      <scheme val="major"/>
    </font>
    <font>
      <b/>
      <sz val="11"/>
      <color rgb="FFFF0000"/>
      <name val="Calibri Light"/>
      <family val="2"/>
      <scheme val="major"/>
    </font>
    <font>
      <b/>
      <sz val="11"/>
      <color theme="1"/>
      <name val="Calibri Light"/>
      <family val="2"/>
      <scheme val="major"/>
    </font>
    <font>
      <b/>
      <sz val="12"/>
      <color theme="1"/>
      <name val="Times New Roman"/>
      <family val="1"/>
    </font>
    <font>
      <sz val="11"/>
      <color theme="1"/>
      <name val="Times New Roman"/>
      <family val="1"/>
    </font>
    <font>
      <sz val="10"/>
      <name val="Arial"/>
      <family val="2"/>
    </font>
    <font>
      <sz val="12"/>
      <name val="Times New Roman"/>
      <family val="1"/>
    </font>
    <font>
      <b/>
      <sz val="11"/>
      <color theme="1"/>
      <name val="Times New Roman"/>
      <family val="1"/>
    </font>
    <font>
      <b/>
      <sz val="10"/>
      <color theme="1"/>
      <name val="Calibri Light"/>
      <family val="2"/>
      <scheme val="major"/>
    </font>
    <font>
      <b/>
      <sz val="10"/>
      <color theme="1"/>
      <name val="Times New Roman"/>
      <family val="1"/>
    </font>
    <font>
      <sz val="10"/>
      <color theme="1"/>
      <name val="Times New Roman"/>
      <family val="1"/>
    </font>
    <font>
      <b/>
      <sz val="14"/>
      <color theme="1"/>
      <name val="Arial"/>
      <family val="2"/>
    </font>
    <font>
      <b/>
      <sz val="11"/>
      <name val="Calibri"/>
      <family val="2"/>
      <scheme val="minor"/>
    </font>
    <font>
      <sz val="14"/>
      <color theme="1"/>
      <name val="Arial"/>
      <family val="2"/>
    </font>
    <font>
      <b/>
      <sz val="16"/>
      <color theme="1"/>
      <name val="Cambria"/>
      <family val="1"/>
    </font>
    <font>
      <b/>
      <sz val="12"/>
      <color theme="1"/>
      <name val="Calibri Light"/>
      <family val="1"/>
      <scheme val="major"/>
    </font>
    <font>
      <b/>
      <sz val="11"/>
      <name val="Calibri Light"/>
      <family val="2"/>
      <scheme val="major"/>
    </font>
    <font>
      <b/>
      <sz val="12"/>
      <color theme="0"/>
      <name val="Calibri Light"/>
      <family val="1"/>
      <scheme val="major"/>
    </font>
    <font>
      <b/>
      <sz val="12"/>
      <name val="Calibri Light"/>
      <family val="2"/>
      <scheme val="major"/>
    </font>
    <font>
      <b/>
      <sz val="12"/>
      <name val="Times New Roman"/>
      <family val="1"/>
    </font>
    <font>
      <sz val="11"/>
      <name val="Calibri"/>
      <family val="2"/>
      <scheme val="minor"/>
    </font>
    <font>
      <b/>
      <sz val="12"/>
      <name val="Calibri"/>
      <family val="2"/>
      <scheme val="minor"/>
    </font>
    <font>
      <sz val="11"/>
      <name val="Times New Roman"/>
      <family val="1"/>
    </font>
    <font>
      <b/>
      <sz val="11"/>
      <name val="Times New Roman"/>
      <family val="1"/>
    </font>
    <font>
      <b/>
      <u/>
      <sz val="11"/>
      <name val="Times New Roman"/>
      <family val="1"/>
    </font>
    <font>
      <sz val="10"/>
      <color theme="1"/>
      <name val="Calibri Light"/>
      <family val="2"/>
      <scheme val="major"/>
    </font>
    <font>
      <sz val="10"/>
      <name val="Times New Roman"/>
      <family val="1"/>
    </font>
    <font>
      <sz val="10"/>
      <name val="Calibri"/>
      <family val="2"/>
      <scheme val="minor"/>
    </font>
    <font>
      <sz val="10"/>
      <color theme="1"/>
      <name val="Calibri"/>
      <family val="2"/>
      <scheme val="minor"/>
    </font>
    <font>
      <sz val="10"/>
      <name val="Calibri Light"/>
      <family val="2"/>
      <scheme val="major"/>
    </font>
    <font>
      <i/>
      <sz val="10"/>
      <color rgb="FFFF0000"/>
      <name val="Calibri Light"/>
      <family val="2"/>
      <scheme val="major"/>
    </font>
    <font>
      <i/>
      <sz val="11"/>
      <color rgb="FFFF00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s>
  <borders count="2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21" fillId="0" borderId="0"/>
  </cellStyleXfs>
  <cellXfs count="254">
    <xf numFmtId="0" fontId="0" fillId="0" borderId="0" xfId="0"/>
    <xf numFmtId="0" fontId="0" fillId="0" borderId="0" xfId="0" applyAlignment="1">
      <alignment vertical="top"/>
    </xf>
    <xf numFmtId="0" fontId="4" fillId="0" borderId="0" xfId="0" applyFont="1" applyBorder="1" applyAlignment="1">
      <alignment textRotation="255"/>
    </xf>
    <xf numFmtId="0" fontId="4" fillId="0" borderId="0" xfId="0" applyFont="1" applyBorder="1"/>
    <xf numFmtId="0" fontId="5" fillId="0" borderId="0" xfId="0" applyFont="1" applyBorder="1" applyAlignment="1">
      <alignment textRotation="255"/>
    </xf>
    <xf numFmtId="0" fontId="6" fillId="0" borderId="0" xfId="0" applyFont="1" applyBorder="1"/>
    <xf numFmtId="49" fontId="6" fillId="0" borderId="0" xfId="0" applyNumberFormat="1" applyFont="1" applyBorder="1" applyAlignment="1">
      <alignment vertical="top"/>
    </xf>
    <xf numFmtId="49" fontId="6" fillId="0" borderId="0" xfId="0" applyNumberFormat="1" applyFont="1" applyBorder="1"/>
    <xf numFmtId="0" fontId="7" fillId="0" borderId="0" xfId="0" applyFont="1" applyBorder="1" applyAlignment="1">
      <alignment textRotation="255"/>
    </xf>
    <xf numFmtId="49" fontId="8" fillId="0" borderId="0" xfId="0" applyNumberFormat="1" applyFont="1" applyBorder="1" applyAlignment="1">
      <alignment vertical="top"/>
    </xf>
    <xf numFmtId="49" fontId="8" fillId="0" borderId="0" xfId="0" applyNumberFormat="1" applyFont="1" applyBorder="1"/>
    <xf numFmtId="0" fontId="8" fillId="0" borderId="0" xfId="0" applyFont="1" applyBorder="1"/>
    <xf numFmtId="0" fontId="9" fillId="0" borderId="0" xfId="0" applyFont="1" applyBorder="1" applyAlignment="1">
      <alignment textRotation="255"/>
    </xf>
    <xf numFmtId="49" fontId="11" fillId="0" borderId="0" xfId="0" applyNumberFormat="1" applyFont="1" applyBorder="1" applyAlignment="1">
      <alignment vertical="top"/>
    </xf>
    <xf numFmtId="49" fontId="11" fillId="0" borderId="0" xfId="0" applyNumberFormat="1" applyFont="1" applyBorder="1"/>
    <xf numFmtId="0" fontId="10" fillId="0" borderId="0" xfId="0" applyFont="1" applyBorder="1" applyAlignment="1">
      <alignment horizontal="left"/>
    </xf>
    <xf numFmtId="0" fontId="10" fillId="0" borderId="0" xfId="0" applyFont="1" applyBorder="1" applyAlignment="1">
      <alignment horizontal="center"/>
    </xf>
    <xf numFmtId="0" fontId="11" fillId="0" borderId="0" xfId="0" applyFont="1" applyBorder="1"/>
    <xf numFmtId="0" fontId="10" fillId="0" borderId="1" xfId="0" applyFont="1" applyBorder="1" applyAlignment="1">
      <alignment horizontal="left"/>
    </xf>
    <xf numFmtId="0" fontId="13" fillId="0" borderId="0" xfId="0" applyFont="1" applyBorder="1"/>
    <xf numFmtId="49" fontId="14" fillId="0" borderId="0" xfId="0" applyNumberFormat="1" applyFont="1" applyBorder="1" applyAlignment="1">
      <alignment vertical="top"/>
    </xf>
    <xf numFmtId="49" fontId="14" fillId="0" borderId="0" xfId="0" applyNumberFormat="1" applyFont="1" applyBorder="1"/>
    <xf numFmtId="0" fontId="15" fillId="0" borderId="0" xfId="0" applyFont="1" applyBorder="1" applyAlignment="1">
      <alignment horizontal="center"/>
    </xf>
    <xf numFmtId="0" fontId="16" fillId="0" borderId="2" xfId="0" applyFont="1" applyBorder="1" applyAlignment="1">
      <alignment horizontal="right"/>
    </xf>
    <xf numFmtId="0" fontId="18" fillId="0" borderId="0" xfId="0" applyFont="1" applyBorder="1"/>
    <xf numFmtId="0" fontId="17" fillId="0" borderId="0" xfId="0" applyFont="1" applyBorder="1" applyAlignment="1">
      <alignment horizontal="center"/>
    </xf>
    <xf numFmtId="0" fontId="11" fillId="0" borderId="0" xfId="0" applyFont="1" applyBorder="1" applyAlignment="1">
      <alignment horizontal="center"/>
    </xf>
    <xf numFmtId="0" fontId="11" fillId="0" borderId="3" xfId="0" applyFont="1" applyBorder="1"/>
    <xf numFmtId="0" fontId="9" fillId="0" borderId="0" xfId="0" applyFont="1" applyAlignment="1">
      <alignment textRotation="255"/>
    </xf>
    <xf numFmtId="0" fontId="0" fillId="0" borderId="0" xfId="0" applyAlignment="1">
      <alignment horizontal="center"/>
    </xf>
    <xf numFmtId="0" fontId="9" fillId="0" borderId="0" xfId="0" applyFont="1"/>
    <xf numFmtId="0" fontId="20" fillId="0" borderId="0" xfId="0" applyFont="1" applyAlignment="1">
      <alignment vertical="top" wrapText="1"/>
    </xf>
    <xf numFmtId="0" fontId="20" fillId="0" borderId="0" xfId="0" applyFont="1" applyAlignment="1">
      <alignment wrapText="1"/>
    </xf>
    <xf numFmtId="0" fontId="9" fillId="0" borderId="0" xfId="0" applyFont="1" applyBorder="1"/>
    <xf numFmtId="165" fontId="22" fillId="3" borderId="0" xfId="3" applyNumberFormat="1" applyFont="1" applyFill="1" applyBorder="1" applyAlignment="1">
      <alignment horizontal="justify" vertical="top" wrapText="1"/>
    </xf>
    <xf numFmtId="0" fontId="20" fillId="0" borderId="0" xfId="0" applyFont="1"/>
    <xf numFmtId="0" fontId="20" fillId="0" borderId="0" xfId="0" applyFont="1" applyAlignment="1">
      <alignment vertical="top"/>
    </xf>
    <xf numFmtId="0" fontId="20" fillId="0" borderId="0" xfId="0" applyFont="1" applyAlignment="1">
      <alignment textRotation="255"/>
    </xf>
    <xf numFmtId="0" fontId="20" fillId="0" borderId="0" xfId="0" applyFont="1" applyAlignment="1">
      <alignment vertical="top" textRotation="255"/>
    </xf>
    <xf numFmtId="0" fontId="18" fillId="0" borderId="7" xfId="0" applyFont="1" applyBorder="1" applyAlignment="1">
      <alignment horizontal="center" vertical="center"/>
    </xf>
    <xf numFmtId="0" fontId="24" fillId="0" borderId="7" xfId="0" applyFont="1" applyBorder="1" applyAlignment="1">
      <alignment horizontal="center" vertical="center" wrapText="1"/>
    </xf>
    <xf numFmtId="0" fontId="20" fillId="0" borderId="0" xfId="0" applyFont="1" applyAlignment="1">
      <alignment vertical="center" wrapText="1"/>
    </xf>
    <xf numFmtId="0" fontId="23" fillId="0" borderId="15" xfId="0" applyFont="1" applyBorder="1" applyAlignment="1">
      <alignment vertical="center" wrapText="1"/>
    </xf>
    <xf numFmtId="0" fontId="23" fillId="0" borderId="6" xfId="0" applyFont="1" applyBorder="1" applyAlignment="1">
      <alignment vertical="center" wrapText="1"/>
    </xf>
    <xf numFmtId="0" fontId="23" fillId="0" borderId="16" xfId="0" applyFont="1" applyBorder="1" applyAlignment="1">
      <alignment vertical="center" wrapText="1"/>
    </xf>
    <xf numFmtId="0" fontId="3"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0" xfId="0" applyFill="1"/>
    <xf numFmtId="0" fontId="20" fillId="0" borderId="0" xfId="0" applyFont="1" applyFill="1" applyBorder="1" applyAlignment="1">
      <alignment wrapText="1"/>
    </xf>
    <xf numFmtId="165" fontId="22" fillId="3" borderId="11" xfId="3" applyNumberFormat="1" applyFont="1" applyFill="1" applyBorder="1" applyAlignment="1">
      <alignment horizontal="justify" vertical="top"/>
    </xf>
    <xf numFmtId="165" fontId="22" fillId="3" borderId="11" xfId="3" applyNumberFormat="1" applyFont="1" applyFill="1" applyBorder="1" applyAlignment="1">
      <alignment horizontal="justify" vertical="top" wrapText="1"/>
    </xf>
    <xf numFmtId="0" fontId="10" fillId="0" borderId="4" xfId="0" applyFont="1" applyBorder="1" applyAlignment="1">
      <alignment vertical="top" textRotation="255"/>
    </xf>
    <xf numFmtId="0" fontId="18" fillId="0" borderId="5" xfId="0" applyFont="1" applyFill="1" applyBorder="1" applyAlignment="1">
      <alignment horizontal="center" vertical="top"/>
    </xf>
    <xf numFmtId="0" fontId="18" fillId="0" borderId="5" xfId="0" applyFont="1" applyBorder="1" applyAlignment="1">
      <alignment horizontal="center" vertical="top"/>
    </xf>
    <xf numFmtId="0" fontId="18" fillId="0" borderId="5" xfId="0" applyFont="1" applyBorder="1" applyAlignment="1">
      <alignment horizontal="center" vertical="top" wrapText="1"/>
    </xf>
    <xf numFmtId="0" fontId="18" fillId="0" borderId="7" xfId="0" applyFont="1" applyBorder="1" applyAlignment="1">
      <alignment horizontal="center" vertical="top" wrapText="1"/>
    </xf>
    <xf numFmtId="0" fontId="18" fillId="0" borderId="0" xfId="0" applyFont="1" applyAlignment="1">
      <alignment vertical="top"/>
    </xf>
    <xf numFmtId="0" fontId="6" fillId="0" borderId="8" xfId="0" applyFont="1" applyFill="1" applyBorder="1"/>
    <xf numFmtId="0" fontId="10" fillId="0" borderId="8" xfId="0" applyFont="1" applyFill="1" applyBorder="1"/>
    <xf numFmtId="0" fontId="10" fillId="0" borderId="10" xfId="0" applyFont="1" applyBorder="1" applyAlignment="1">
      <alignment horizontal="center"/>
    </xf>
    <xf numFmtId="0" fontId="13" fillId="0" borderId="8" xfId="0" applyFont="1" applyFill="1" applyBorder="1"/>
    <xf numFmtId="0" fontId="17" fillId="0" borderId="8" xfId="0" applyFont="1" applyFill="1" applyBorder="1"/>
    <xf numFmtId="0" fontId="11" fillId="0" borderId="10" xfId="0" applyFont="1" applyBorder="1"/>
    <xf numFmtId="0" fontId="19" fillId="0" borderId="8" xfId="0" applyFont="1" applyFill="1" applyBorder="1"/>
    <xf numFmtId="0" fontId="9" fillId="0" borderId="0" xfId="0" applyFont="1" applyBorder="1" applyAlignment="1">
      <alignment vertical="top"/>
    </xf>
    <xf numFmtId="0" fontId="9" fillId="0" borderId="0" xfId="0" applyFont="1" applyBorder="1" applyAlignment="1"/>
    <xf numFmtId="0" fontId="9" fillId="0" borderId="0" xfId="0" applyFont="1" applyBorder="1" applyAlignment="1">
      <alignment horizontal="center"/>
    </xf>
    <xf numFmtId="0" fontId="9" fillId="0" borderId="10" xfId="0" applyFont="1" applyBorder="1"/>
    <xf numFmtId="0" fontId="19" fillId="0" borderId="8" xfId="0" applyFont="1" applyFill="1" applyBorder="1" applyAlignment="1"/>
    <xf numFmtId="0" fontId="9" fillId="0" borderId="0" xfId="0" applyFont="1" applyBorder="1" applyAlignment="1">
      <alignment vertical="top" wrapText="1"/>
    </xf>
    <xf numFmtId="0" fontId="9" fillId="0" borderId="0" xfId="0" applyFont="1" applyBorder="1" applyAlignment="1">
      <alignment wrapText="1"/>
    </xf>
    <xf numFmtId="0" fontId="9" fillId="0" borderId="10" xfId="0" applyFont="1" applyBorder="1" applyAlignment="1">
      <alignment wrapText="1"/>
    </xf>
    <xf numFmtId="0" fontId="9" fillId="0" borderId="8" xfId="0" applyFont="1" applyFill="1" applyBorder="1" applyAlignment="1">
      <alignment wrapText="1"/>
    </xf>
    <xf numFmtId="0" fontId="19" fillId="0" borderId="9" xfId="0" applyFont="1" applyFill="1" applyBorder="1" applyAlignment="1"/>
    <xf numFmtId="0" fontId="9" fillId="0" borderId="11" xfId="0" applyFont="1" applyBorder="1" applyAlignment="1">
      <alignment vertical="top" wrapText="1"/>
    </xf>
    <xf numFmtId="0" fontId="9" fillId="0" borderId="11" xfId="0" applyFont="1" applyBorder="1" applyAlignment="1">
      <alignment wrapText="1"/>
    </xf>
    <xf numFmtId="0" fontId="9" fillId="4" borderId="11" xfId="0" applyFont="1" applyFill="1" applyBorder="1" applyAlignment="1"/>
    <xf numFmtId="0" fontId="9" fillId="4" borderId="11" xfId="0" applyFont="1" applyFill="1" applyBorder="1" applyAlignment="1">
      <alignment wrapText="1"/>
    </xf>
    <xf numFmtId="0" fontId="9" fillId="0" borderId="12" xfId="0" applyFont="1" applyBorder="1" applyAlignment="1">
      <alignment wrapText="1"/>
    </xf>
    <xf numFmtId="0" fontId="27" fillId="0" borderId="11" xfId="0" applyFont="1" applyBorder="1" applyAlignment="1">
      <alignment horizontal="center" vertical="center" wrapText="1"/>
    </xf>
    <xf numFmtId="0" fontId="27" fillId="0" borderId="11" xfId="0" applyFont="1" applyBorder="1" applyAlignment="1">
      <alignment horizontal="center" vertical="center"/>
    </xf>
    <xf numFmtId="0" fontId="20" fillId="0" borderId="22" xfId="0" applyFont="1" applyBorder="1" applyAlignment="1">
      <alignment vertical="center" wrapText="1"/>
    </xf>
    <xf numFmtId="0" fontId="27" fillId="0" borderId="11" xfId="0" applyFont="1" applyBorder="1" applyAlignment="1">
      <alignment horizontal="left" vertical="center"/>
    </xf>
    <xf numFmtId="0" fontId="3" fillId="0" borderId="11" xfId="0" applyFont="1" applyBorder="1" applyAlignment="1">
      <alignment horizontal="left" vertical="center"/>
    </xf>
    <xf numFmtId="0" fontId="27" fillId="0" borderId="11" xfId="0" applyFont="1" applyBorder="1" applyAlignment="1">
      <alignment horizontal="left" vertical="top"/>
    </xf>
    <xf numFmtId="0" fontId="27" fillId="0" borderId="11" xfId="0" applyFont="1" applyBorder="1" applyAlignment="1">
      <alignment horizontal="center" vertical="top"/>
    </xf>
    <xf numFmtId="0" fontId="23" fillId="0" borderId="6" xfId="0" applyFont="1" applyBorder="1" applyAlignment="1">
      <alignment vertical="top"/>
    </xf>
    <xf numFmtId="0" fontId="29" fillId="0" borderId="11" xfId="0" applyFont="1" applyBorder="1" applyAlignment="1">
      <alignment horizontal="left" vertical="center"/>
    </xf>
    <xf numFmtId="0" fontId="29" fillId="0" borderId="11" xfId="0" applyFont="1" applyBorder="1" applyAlignment="1">
      <alignment vertical="center"/>
    </xf>
    <xf numFmtId="0" fontId="23" fillId="0" borderId="5" xfId="0" applyFont="1" applyBorder="1" applyAlignment="1">
      <alignment vertical="center" wrapText="1"/>
    </xf>
    <xf numFmtId="165" fontId="22" fillId="3" borderId="0" xfId="3" applyNumberFormat="1" applyFont="1" applyFill="1" applyBorder="1" applyAlignment="1">
      <alignment horizontal="justify" vertical="top"/>
    </xf>
    <xf numFmtId="165" fontId="22" fillId="0" borderId="8" xfId="3" applyNumberFormat="1" applyFont="1" applyFill="1" applyBorder="1" applyAlignment="1">
      <alignment horizontal="justify" vertical="top"/>
    </xf>
    <xf numFmtId="165" fontId="22" fillId="0" borderId="0" xfId="3" applyNumberFormat="1" applyFont="1" applyFill="1" applyBorder="1" applyAlignment="1">
      <alignment horizontal="justify" vertical="top"/>
    </xf>
    <xf numFmtId="165" fontId="22" fillId="0" borderId="10" xfId="3" applyNumberFormat="1" applyFont="1" applyFill="1" applyBorder="1" applyAlignment="1">
      <alignment horizontal="justify" vertical="top"/>
    </xf>
    <xf numFmtId="0" fontId="31" fillId="6" borderId="14" xfId="0" applyFont="1" applyFill="1" applyBorder="1" applyAlignment="1">
      <alignment horizontal="center" vertical="center"/>
    </xf>
    <xf numFmtId="0" fontId="0" fillId="6" borderId="14" xfId="0" applyFill="1" applyBorder="1" applyAlignment="1">
      <alignment vertical="center" wrapText="1"/>
    </xf>
    <xf numFmtId="0" fontId="33" fillId="6" borderId="14" xfId="0" applyFont="1" applyFill="1" applyBorder="1" applyAlignment="1">
      <alignment horizontal="center" vertical="center"/>
    </xf>
    <xf numFmtId="0" fontId="0" fillId="6" borderId="14" xfId="0" applyFill="1" applyBorder="1" applyAlignment="1">
      <alignment vertical="center"/>
    </xf>
    <xf numFmtId="0" fontId="0" fillId="6" borderId="14" xfId="0" applyNumberFormat="1" applyFill="1" applyBorder="1" applyAlignment="1">
      <alignment vertical="justify"/>
    </xf>
    <xf numFmtId="0" fontId="33" fillId="6" borderId="14" xfId="0" applyNumberFormat="1" applyFont="1" applyFill="1" applyBorder="1" applyAlignment="1">
      <alignment vertical="justify"/>
    </xf>
    <xf numFmtId="0" fontId="0" fillId="0" borderId="14" xfId="0" applyNumberFormat="1" applyBorder="1" applyAlignment="1">
      <alignment vertical="justify"/>
    </xf>
    <xf numFmtId="0" fontId="2" fillId="0" borderId="25" xfId="0" applyFont="1" applyBorder="1"/>
    <xf numFmtId="0" fontId="2" fillId="0" borderId="26" xfId="0" applyFont="1" applyBorder="1"/>
    <xf numFmtId="0" fontId="0" fillId="0" borderId="25" xfId="0" applyBorder="1"/>
    <xf numFmtId="0" fontId="32" fillId="6" borderId="14" xfId="0" applyFont="1" applyFill="1" applyBorder="1" applyAlignment="1">
      <alignment horizontal="left" vertical="center"/>
    </xf>
    <xf numFmtId="0" fontId="32" fillId="6" borderId="14" xfId="0" applyNumberFormat="1" applyFont="1" applyFill="1" applyBorder="1" applyAlignment="1">
      <alignment horizontal="left" vertical="center"/>
    </xf>
    <xf numFmtId="0" fontId="34" fillId="6" borderId="14" xfId="0" applyNumberFormat="1" applyFont="1" applyFill="1" applyBorder="1" applyAlignment="1">
      <alignment horizontal="left" vertical="center"/>
    </xf>
    <xf numFmtId="0" fontId="2" fillId="0" borderId="14" xfId="0" applyNumberFormat="1" applyFont="1" applyBorder="1" applyAlignment="1">
      <alignment horizontal="left" vertical="center"/>
    </xf>
    <xf numFmtId="0" fontId="2" fillId="0" borderId="14" xfId="0" applyNumberFormat="1" applyFont="1" applyFill="1" applyBorder="1" applyAlignment="1">
      <alignment horizontal="left" vertical="center"/>
    </xf>
    <xf numFmtId="0" fontId="0" fillId="0" borderId="0" xfId="0" applyAlignment="1">
      <alignment horizontal="left"/>
    </xf>
    <xf numFmtId="0" fontId="6" fillId="0" borderId="4" xfId="0" applyFont="1" applyFill="1" applyBorder="1"/>
    <xf numFmtId="49" fontId="6" fillId="0" borderId="17" xfId="0" applyNumberFormat="1" applyFont="1" applyBorder="1" applyAlignment="1">
      <alignment vertical="top"/>
    </xf>
    <xf numFmtId="0" fontId="0" fillId="0" borderId="11" xfId="0" applyBorder="1"/>
    <xf numFmtId="0" fontId="10" fillId="0" borderId="11" xfId="0" applyFont="1" applyBorder="1" applyAlignment="1">
      <alignment horizontal="left"/>
    </xf>
    <xf numFmtId="0" fontId="0" fillId="0" borderId="12" xfId="0" applyBorder="1"/>
    <xf numFmtId="0" fontId="10" fillId="0" borderId="9" xfId="0" applyFont="1" applyFill="1" applyBorder="1"/>
    <xf numFmtId="0" fontId="6" fillId="0" borderId="17" xfId="0" applyFont="1" applyBorder="1" applyAlignment="1"/>
    <xf numFmtId="0" fontId="6" fillId="0" borderId="18" xfId="0" applyFont="1" applyBorder="1" applyAlignment="1"/>
    <xf numFmtId="0" fontId="6" fillId="0" borderId="0" xfId="0" applyFont="1" applyBorder="1" applyAlignment="1"/>
    <xf numFmtId="0" fontId="6" fillId="0" borderId="10" xfId="0" applyFont="1" applyBorder="1" applyAlignment="1"/>
    <xf numFmtId="0" fontId="6" fillId="0" borderId="17" xfId="0" applyFont="1" applyBorder="1"/>
    <xf numFmtId="0" fontId="0" fillId="0" borderId="0" xfId="0" applyAlignment="1">
      <alignment textRotation="255"/>
    </xf>
    <xf numFmtId="0" fontId="0" fillId="0" borderId="0" xfId="0" applyNumberFormat="1" applyAlignment="1">
      <alignment vertical="justify" textRotation="255"/>
    </xf>
    <xf numFmtId="165" fontId="22" fillId="0" borderId="2" xfId="3" applyNumberFormat="1" applyFont="1" applyFill="1" applyBorder="1" applyAlignment="1">
      <alignment horizontal="justify" vertical="top"/>
    </xf>
    <xf numFmtId="165" fontId="22" fillId="0" borderId="3" xfId="3" applyNumberFormat="1" applyFont="1" applyFill="1" applyBorder="1" applyAlignment="1">
      <alignment horizontal="justify" vertical="top"/>
    </xf>
    <xf numFmtId="0" fontId="28" fillId="0" borderId="8" xfId="0" applyFont="1" applyFill="1" applyBorder="1"/>
    <xf numFmtId="0" fontId="34" fillId="0" borderId="8" xfId="0" applyFont="1" applyBorder="1" applyAlignment="1">
      <alignment textRotation="255"/>
    </xf>
    <xf numFmtId="0" fontId="28" fillId="0" borderId="2" xfId="0" applyFont="1" applyFill="1" applyBorder="1"/>
    <xf numFmtId="0" fontId="32" fillId="0" borderId="2" xfId="0" applyFont="1" applyBorder="1" applyAlignment="1">
      <alignment horizontal="center" vertical="top"/>
    </xf>
    <xf numFmtId="0" fontId="32" fillId="0" borderId="8" xfId="0" applyFont="1" applyBorder="1" applyAlignment="1">
      <alignment horizontal="left" vertical="center"/>
    </xf>
    <xf numFmtId="0" fontId="32" fillId="0" borderId="0" xfId="0" applyFont="1" applyBorder="1" applyAlignment="1">
      <alignment horizontal="center" vertical="center"/>
    </xf>
    <xf numFmtId="0" fontId="32" fillId="0" borderId="10" xfId="0" applyFont="1" applyBorder="1" applyAlignment="1">
      <alignment horizontal="center" vertical="center"/>
    </xf>
    <xf numFmtId="0" fontId="32" fillId="0" borderId="2" xfId="0" applyFont="1" applyBorder="1" applyAlignment="1">
      <alignment horizontal="center" vertical="center"/>
    </xf>
    <xf numFmtId="0" fontId="32" fillId="0" borderId="2" xfId="0" applyFont="1" applyBorder="1" applyAlignment="1">
      <alignment horizontal="center" vertical="center" wrapText="1"/>
    </xf>
    <xf numFmtId="0" fontId="32" fillId="0" borderId="0" xfId="0" applyFont="1" applyBorder="1" applyAlignment="1">
      <alignment horizontal="center" vertical="center" wrapText="1"/>
    </xf>
    <xf numFmtId="0" fontId="22" fillId="0" borderId="2" xfId="0" applyFont="1" applyBorder="1"/>
    <xf numFmtId="0" fontId="32" fillId="0" borderId="0" xfId="0" applyFont="1"/>
    <xf numFmtId="0" fontId="34" fillId="0" borderId="8" xfId="0" applyFont="1" applyFill="1" applyBorder="1" applyAlignment="1">
      <alignment textRotation="255"/>
    </xf>
    <xf numFmtId="0" fontId="32" fillId="0" borderId="2" xfId="0" applyFont="1" applyFill="1" applyBorder="1" applyAlignment="1">
      <alignment horizontal="center" vertical="top"/>
    </xf>
    <xf numFmtId="0" fontId="32" fillId="0" borderId="2"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22" fillId="0" borderId="2" xfId="0" applyFont="1" applyFill="1" applyBorder="1"/>
    <xf numFmtId="0" fontId="32" fillId="0" borderId="2" xfId="0" applyFont="1" applyFill="1" applyBorder="1" applyAlignment="1">
      <alignment horizontal="center" vertical="center"/>
    </xf>
    <xf numFmtId="0" fontId="32" fillId="0" borderId="0" xfId="0" applyFont="1" applyFill="1"/>
    <xf numFmtId="0" fontId="22" fillId="0" borderId="8" xfId="0" applyFont="1" applyFill="1" applyBorder="1" applyAlignment="1">
      <alignment textRotation="255"/>
    </xf>
    <xf numFmtId="0" fontId="35" fillId="0" borderId="2" xfId="0" applyFont="1" applyFill="1" applyBorder="1" applyAlignment="1">
      <alignment horizontal="center"/>
    </xf>
    <xf numFmtId="0" fontId="35" fillId="0" borderId="0" xfId="0" applyFont="1" applyFill="1" applyBorder="1" applyAlignment="1">
      <alignment horizontal="center"/>
    </xf>
    <xf numFmtId="0" fontId="22" fillId="0" borderId="0" xfId="0" applyFont="1" applyFill="1"/>
    <xf numFmtId="0" fontId="36" fillId="0" borderId="8" xfId="0" applyFont="1" applyFill="1" applyBorder="1"/>
    <xf numFmtId="0" fontId="36" fillId="0" borderId="0" xfId="0" applyFont="1" applyFill="1" applyBorder="1"/>
    <xf numFmtId="0" fontId="36" fillId="0" borderId="10" xfId="0" applyFont="1" applyFill="1" applyBorder="1"/>
    <xf numFmtId="0" fontId="36" fillId="0" borderId="2" xfId="0" applyFont="1" applyFill="1" applyBorder="1"/>
    <xf numFmtId="0" fontId="37" fillId="0" borderId="0" xfId="0" applyFont="1" applyFill="1" applyBorder="1" applyAlignment="1">
      <alignment horizontal="center"/>
    </xf>
    <xf numFmtId="0" fontId="36" fillId="0" borderId="0" xfId="0" applyFont="1" applyFill="1"/>
    <xf numFmtId="0" fontId="22" fillId="0" borderId="0" xfId="0" applyFont="1" applyFill="1" applyBorder="1" applyAlignment="1">
      <alignment textRotation="255"/>
    </xf>
    <xf numFmtId="0" fontId="22" fillId="0" borderId="8" xfId="0" applyFont="1" applyFill="1" applyBorder="1"/>
    <xf numFmtId="0" fontId="22" fillId="0" borderId="12" xfId="0" applyFont="1" applyFill="1" applyBorder="1" applyAlignment="1">
      <alignment textRotation="255"/>
    </xf>
    <xf numFmtId="0" fontId="28" fillId="0" borderId="3" xfId="0" applyFont="1" applyFill="1" applyBorder="1"/>
    <xf numFmtId="0" fontId="32" fillId="0" borderId="3" xfId="0" applyFont="1" applyFill="1" applyBorder="1" applyAlignment="1">
      <alignment horizontal="center" vertical="top"/>
    </xf>
    <xf numFmtId="0" fontId="35" fillId="0" borderId="3" xfId="0" applyFont="1" applyFill="1" applyBorder="1" applyAlignment="1">
      <alignment horizontal="center"/>
    </xf>
    <xf numFmtId="0" fontId="37" fillId="0" borderId="11" xfId="0" applyFont="1" applyFill="1" applyBorder="1" applyAlignment="1">
      <alignment horizontal="center"/>
    </xf>
    <xf numFmtId="0" fontId="22" fillId="0" borderId="9" xfId="0" applyFont="1" applyFill="1" applyBorder="1"/>
    <xf numFmtId="0" fontId="36" fillId="0" borderId="9" xfId="0" applyFont="1" applyFill="1" applyBorder="1"/>
    <xf numFmtId="0" fontId="22" fillId="0" borderId="0" xfId="0" applyFont="1" applyBorder="1" applyAlignment="1">
      <alignment textRotation="255"/>
    </xf>
    <xf numFmtId="0" fontId="32" fillId="3" borderId="0" xfId="0" applyFont="1" applyFill="1" applyBorder="1" applyAlignment="1">
      <alignment horizontal="center" vertical="top"/>
    </xf>
    <xf numFmtId="0" fontId="35" fillId="3" borderId="0" xfId="0" applyFont="1" applyFill="1" applyBorder="1" applyAlignment="1">
      <alignment horizontal="center"/>
    </xf>
    <xf numFmtId="0" fontId="37" fillId="3" borderId="0" xfId="0" applyFont="1" applyFill="1" applyBorder="1" applyAlignment="1">
      <alignment horizontal="center"/>
    </xf>
    <xf numFmtId="0" fontId="22" fillId="3" borderId="0" xfId="0" applyFont="1" applyFill="1" applyBorder="1"/>
    <xf numFmtId="0" fontId="36" fillId="3" borderId="10" xfId="0" applyFont="1" applyFill="1" applyBorder="1"/>
    <xf numFmtId="0" fontId="36" fillId="0" borderId="0" xfId="0" applyFont="1"/>
    <xf numFmtId="0" fontId="28" fillId="0" borderId="9" xfId="0" applyFont="1" applyFill="1" applyBorder="1"/>
    <xf numFmtId="0" fontId="32" fillId="3" borderId="11" xfId="0" applyFont="1" applyFill="1" applyBorder="1" applyAlignment="1">
      <alignment horizontal="center" vertical="top"/>
    </xf>
    <xf numFmtId="0" fontId="35" fillId="3" borderId="11" xfId="0" applyFont="1" applyFill="1" applyBorder="1" applyAlignment="1">
      <alignment horizontal="center"/>
    </xf>
    <xf numFmtId="0" fontId="28" fillId="3" borderId="12" xfId="0" applyFont="1" applyFill="1" applyBorder="1"/>
    <xf numFmtId="0" fontId="22" fillId="0" borderId="0" xfId="0" applyFont="1" applyAlignment="1">
      <alignment textRotation="255"/>
    </xf>
    <xf numFmtId="0" fontId="36" fillId="0" borderId="0" xfId="0" applyFont="1" applyAlignment="1">
      <alignment vertical="top"/>
    </xf>
    <xf numFmtId="0" fontId="28" fillId="0" borderId="0" xfId="0" applyFont="1"/>
    <xf numFmtId="0" fontId="36" fillId="0" borderId="0" xfId="0" applyFont="1" applyAlignment="1">
      <alignment horizontal="center"/>
    </xf>
    <xf numFmtId="0" fontId="38" fillId="0" borderId="0" xfId="0" applyFont="1" applyFill="1"/>
    <xf numFmtId="0" fontId="38" fillId="0" borderId="0" xfId="0" applyFont="1" applyAlignment="1">
      <alignment vertical="top"/>
    </xf>
    <xf numFmtId="0" fontId="39" fillId="0" borderId="13" xfId="0" applyFont="1" applyBorder="1"/>
    <xf numFmtId="0" fontId="39" fillId="3" borderId="14" xfId="0" applyFont="1" applyFill="1" applyBorder="1"/>
    <xf numFmtId="0" fontId="39" fillId="0" borderId="0" xfId="0" applyFont="1"/>
    <xf numFmtId="0" fontId="38" fillId="0" borderId="0" xfId="0" applyFont="1" applyAlignment="1">
      <alignment horizontal="center"/>
    </xf>
    <xf numFmtId="0" fontId="38" fillId="0" borderId="0" xfId="0" applyFont="1"/>
    <xf numFmtId="0" fontId="41" fillId="0" borderId="0" xfId="0" applyFont="1" applyBorder="1"/>
    <xf numFmtId="0" fontId="26" fillId="0" borderId="0" xfId="0" applyFont="1"/>
    <xf numFmtId="0" fontId="26" fillId="0" borderId="0" xfId="0" applyFont="1" applyAlignment="1">
      <alignment wrapText="1"/>
    </xf>
    <xf numFmtId="0" fontId="24" fillId="0" borderId="0" xfId="0" applyFont="1" applyAlignment="1">
      <alignment vertical="top"/>
    </xf>
    <xf numFmtId="0" fontId="42" fillId="0" borderId="0" xfId="0" applyFont="1" applyFill="1" applyAlignment="1">
      <alignment vertical="center"/>
    </xf>
    <xf numFmtId="0" fontId="43" fillId="0" borderId="0" xfId="0" applyFont="1" applyFill="1" applyAlignment="1">
      <alignment vertical="center"/>
    </xf>
    <xf numFmtId="0" fontId="43" fillId="0" borderId="8" xfId="0" applyFont="1" applyFill="1" applyBorder="1" applyAlignment="1">
      <alignment vertical="center"/>
    </xf>
    <xf numFmtId="0" fontId="43" fillId="0" borderId="0" xfId="0" applyFont="1" applyAlignment="1">
      <alignment vertical="center"/>
    </xf>
    <xf numFmtId="0" fontId="42" fillId="0" borderId="0" xfId="0" applyFont="1" applyAlignment="1">
      <alignment vertical="center"/>
    </xf>
    <xf numFmtId="0" fontId="44" fillId="0" borderId="0" xfId="0" applyFont="1"/>
    <xf numFmtId="0" fontId="45" fillId="0" borderId="0" xfId="0" applyFont="1" applyAlignment="1">
      <alignment vertical="center"/>
    </xf>
    <xf numFmtId="0" fontId="45" fillId="0" borderId="0" xfId="0" applyFont="1" applyFill="1" applyAlignment="1">
      <alignment vertical="center"/>
    </xf>
    <xf numFmtId="0" fontId="46" fillId="0" borderId="10" xfId="0" applyFont="1" applyBorder="1"/>
    <xf numFmtId="0" fontId="47" fillId="0" borderId="0" xfId="0" applyFont="1"/>
    <xf numFmtId="14" fontId="29" fillId="0" borderId="11" xfId="0" applyNumberFormat="1" applyFont="1" applyBorder="1" applyAlignment="1">
      <alignment horizontal="left" vertical="center"/>
    </xf>
    <xf numFmtId="14" fontId="27" fillId="0" borderId="11" xfId="0" applyNumberFormat="1" applyFont="1" applyBorder="1" applyAlignment="1">
      <alignment horizontal="left" vertical="top"/>
    </xf>
    <xf numFmtId="0" fontId="20" fillId="0" borderId="3" xfId="0" applyFont="1" applyBorder="1" applyAlignment="1">
      <alignment vertical="center" wrapText="1"/>
    </xf>
    <xf numFmtId="0" fontId="20" fillId="0" borderId="22" xfId="0" applyFont="1" applyBorder="1" applyAlignment="1">
      <alignment horizontal="justify" vertical="top" wrapText="1"/>
    </xf>
    <xf numFmtId="0" fontId="20" fillId="0" borderId="5" xfId="0" applyFont="1" applyBorder="1" applyAlignment="1">
      <alignment vertical="center" wrapText="1"/>
    </xf>
    <xf numFmtId="0" fontId="20" fillId="0" borderId="9" xfId="0" applyFont="1" applyBorder="1" applyAlignment="1">
      <alignment vertical="center" wrapText="1"/>
    </xf>
    <xf numFmtId="0" fontId="20" fillId="0" borderId="9" xfId="0" applyFont="1" applyBorder="1" applyAlignment="1">
      <alignment horizontal="justify" vertical="top" wrapText="1"/>
    </xf>
    <xf numFmtId="164" fontId="20" fillId="0" borderId="9" xfId="1" applyFont="1" applyBorder="1" applyAlignment="1">
      <alignment vertical="center" wrapText="1"/>
    </xf>
    <xf numFmtId="0" fontId="26" fillId="0" borderId="9" xfId="0" applyFont="1" applyBorder="1" applyAlignment="1">
      <alignment vertical="center" wrapText="1"/>
    </xf>
    <xf numFmtId="0" fontId="20" fillId="0" borderId="9" xfId="0" applyFont="1" applyFill="1" applyBorder="1" applyAlignment="1">
      <alignment vertical="center" wrapText="1"/>
    </xf>
    <xf numFmtId="164" fontId="20" fillId="0" borderId="9" xfId="1" applyFont="1" applyFill="1" applyBorder="1" applyAlignment="1">
      <alignment vertical="center" wrapText="1"/>
    </xf>
    <xf numFmtId="0" fontId="20" fillId="0" borderId="9" xfId="0" applyFont="1" applyFill="1" applyBorder="1" applyAlignment="1">
      <alignment horizontal="justify" vertical="top" wrapText="1"/>
    </xf>
    <xf numFmtId="0" fontId="20" fillId="0" borderId="3" xfId="0" applyFont="1" applyFill="1" applyBorder="1" applyAlignment="1">
      <alignment vertical="center" wrapText="1"/>
    </xf>
    <xf numFmtId="165" fontId="22" fillId="0" borderId="8" xfId="3" applyNumberFormat="1" applyFont="1" applyFill="1" applyBorder="1" applyAlignment="1">
      <alignment horizontal="justify" vertical="top"/>
    </xf>
    <xf numFmtId="165" fontId="22" fillId="0" borderId="0" xfId="3" applyNumberFormat="1" applyFont="1" applyFill="1" applyBorder="1" applyAlignment="1">
      <alignment horizontal="justify" vertical="top"/>
    </xf>
    <xf numFmtId="165" fontId="22" fillId="0" borderId="10" xfId="3" applyNumberFormat="1" applyFont="1" applyFill="1" applyBorder="1" applyAlignment="1">
      <alignment horizontal="justify" vertical="top"/>
    </xf>
    <xf numFmtId="0" fontId="4" fillId="2" borderId="19" xfId="0" applyFont="1" applyFill="1" applyBorder="1" applyAlignment="1">
      <alignment horizontal="center"/>
    </xf>
    <xf numFmtId="0" fontId="4" fillId="2" borderId="20" xfId="0" applyFont="1" applyFill="1" applyBorder="1" applyAlignment="1">
      <alignment horizontal="center"/>
    </xf>
    <xf numFmtId="0" fontId="4" fillId="2" borderId="21" xfId="0" applyFont="1" applyFill="1" applyBorder="1" applyAlignment="1">
      <alignment horizontal="center"/>
    </xf>
    <xf numFmtId="0" fontId="6" fillId="0" borderId="0" xfId="0" applyFont="1" applyBorder="1" applyAlignment="1">
      <alignment horizontal="left"/>
    </xf>
    <xf numFmtId="0" fontId="6" fillId="0" borderId="10" xfId="0" applyFont="1" applyBorder="1" applyAlignment="1">
      <alignment horizontal="left"/>
    </xf>
    <xf numFmtId="0" fontId="18" fillId="0" borderId="15" xfId="0" applyFont="1" applyBorder="1" applyAlignment="1">
      <alignment horizontal="center" vertical="top"/>
    </xf>
    <xf numFmtId="0" fontId="18" fillId="0" borderId="6" xfId="0" applyFont="1" applyBorder="1" applyAlignment="1">
      <alignment horizontal="center" vertical="top"/>
    </xf>
    <xf numFmtId="0" fontId="18" fillId="0" borderId="16" xfId="0" applyFont="1" applyBorder="1" applyAlignment="1">
      <alignment horizontal="center" vertical="top"/>
    </xf>
    <xf numFmtId="0" fontId="25" fillId="0" borderId="9" xfId="0" applyFont="1" applyBorder="1" applyAlignment="1">
      <alignment horizontal="center"/>
    </xf>
    <xf numFmtId="0" fontId="25" fillId="0" borderId="12" xfId="0" applyFont="1" applyBorder="1" applyAlignment="1">
      <alignment horizontal="center"/>
    </xf>
    <xf numFmtId="165" fontId="22" fillId="0" borderId="8" xfId="3" applyNumberFormat="1" applyFont="1" applyFill="1" applyBorder="1" applyAlignment="1">
      <alignment horizontal="justify" vertical="top" wrapText="1"/>
    </xf>
    <xf numFmtId="165" fontId="22" fillId="0" borderId="9" xfId="3" applyNumberFormat="1" applyFont="1" applyFill="1" applyBorder="1" applyAlignment="1">
      <alignment horizontal="justify" vertical="top" wrapText="1"/>
    </xf>
    <xf numFmtId="165" fontId="22" fillId="0" borderId="11" xfId="3" applyNumberFormat="1" applyFont="1" applyFill="1" applyBorder="1" applyAlignment="1">
      <alignment horizontal="justify" vertical="top"/>
    </xf>
    <xf numFmtId="165" fontId="22" fillId="0" borderId="12" xfId="3" applyNumberFormat="1" applyFont="1" applyFill="1" applyBorder="1" applyAlignment="1">
      <alignment horizontal="justify" vertical="top"/>
    </xf>
    <xf numFmtId="9" fontId="28" fillId="5" borderId="23" xfId="2" applyFont="1" applyFill="1" applyBorder="1" applyAlignment="1">
      <alignment horizontal="center"/>
    </xf>
    <xf numFmtId="9" fontId="28" fillId="5" borderId="24" xfId="2" applyFont="1" applyFill="1" applyBorder="1" applyAlignment="1">
      <alignment horizontal="center"/>
    </xf>
    <xf numFmtId="0" fontId="38" fillId="0" borderId="0" xfId="0" applyFont="1" applyAlignment="1">
      <alignment horizontal="justify" vertical="justify" wrapText="1"/>
    </xf>
    <xf numFmtId="0" fontId="30" fillId="6" borderId="23" xfId="0" applyFont="1" applyFill="1" applyBorder="1" applyAlignment="1">
      <alignment horizontal="center" vertical="center" wrapText="1"/>
    </xf>
    <xf numFmtId="0" fontId="30" fillId="6" borderId="26" xfId="0" applyFont="1" applyFill="1" applyBorder="1" applyAlignment="1">
      <alignment horizontal="center" vertical="center" wrapText="1"/>
    </xf>
    <xf numFmtId="0" fontId="30" fillId="6" borderId="24" xfId="0" applyFont="1" applyFill="1" applyBorder="1" applyAlignment="1">
      <alignment horizontal="center" vertical="center" wrapText="1"/>
    </xf>
    <xf numFmtId="0" fontId="0" fillId="6" borderId="23" xfId="0" applyFont="1" applyFill="1" applyBorder="1" applyAlignment="1">
      <alignment horizontal="left" vertical="center" wrapText="1"/>
    </xf>
    <xf numFmtId="0" fontId="0" fillId="6" borderId="26" xfId="0" applyFont="1" applyFill="1" applyBorder="1" applyAlignment="1">
      <alignment horizontal="left" vertical="center" wrapText="1"/>
    </xf>
    <xf numFmtId="0" fontId="0" fillId="6" borderId="24" xfId="0" applyFont="1" applyFill="1" applyBorder="1" applyAlignment="1">
      <alignment horizontal="left" vertical="center" wrapText="1"/>
    </xf>
    <xf numFmtId="0" fontId="31" fillId="6" borderId="14" xfId="0" applyFont="1" applyFill="1" applyBorder="1" applyAlignment="1">
      <alignment horizontal="left" vertical="center"/>
    </xf>
    <xf numFmtId="0" fontId="31" fillId="6" borderId="14" xfId="0" applyFont="1" applyFill="1" applyBorder="1" applyAlignment="1">
      <alignment horizontal="center" vertical="center"/>
    </xf>
    <xf numFmtId="0" fontId="31" fillId="6" borderId="23" xfId="0" applyFont="1" applyFill="1" applyBorder="1" applyAlignment="1">
      <alignment horizontal="center" vertical="center"/>
    </xf>
    <xf numFmtId="0" fontId="31" fillId="6" borderId="26" xfId="0" applyFont="1" applyFill="1" applyBorder="1" applyAlignment="1">
      <alignment horizontal="center" vertical="center"/>
    </xf>
    <xf numFmtId="0" fontId="31" fillId="6" borderId="24" xfId="0" applyFont="1" applyFill="1" applyBorder="1" applyAlignment="1">
      <alignment horizontal="center" vertical="center"/>
    </xf>
    <xf numFmtId="0" fontId="27" fillId="0" borderId="11" xfId="0" applyFont="1" applyBorder="1" applyAlignment="1">
      <alignment horizontal="center" vertical="center" wrapText="1"/>
    </xf>
    <xf numFmtId="0" fontId="27" fillId="0" borderId="11"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cellXfs>
  <cellStyles count="4">
    <cellStyle name="Millares" xfId="1" builtinId="3"/>
    <cellStyle name="Normal" xfId="0" builtinId="0"/>
    <cellStyle name="Normal 3" xfId="3" xr:uid="{00000000-0005-0000-0000-000002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119063</xdr:colOff>
      <xdr:row>1</xdr:row>
      <xdr:rowOff>59532</xdr:rowOff>
    </xdr:from>
    <xdr:to>
      <xdr:col>12</xdr:col>
      <xdr:colOff>1743216</xdr:colOff>
      <xdr:row>4</xdr:row>
      <xdr:rowOff>55330</xdr:rowOff>
    </xdr:to>
    <xdr:pic>
      <xdr:nvPicPr>
        <xdr:cNvPr id="2" name="Imagen 1" descr="C:\Users\Usuario\Desktop\A AUDITORIAS\A AUDITORIAS\2018\LOGOS\Logo 1\3ANG_LOGO.png">
          <a:extLst>
            <a:ext uri="{FF2B5EF4-FFF2-40B4-BE49-F238E27FC236}">
              <a16:creationId xmlns:a16="http://schemas.microsoft.com/office/drawing/2014/main" id="{9FEB2513-2272-462B-B3B0-2F2345737D7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63063" y="321470"/>
          <a:ext cx="1624153" cy="68636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1"/>
  <sheetViews>
    <sheetView view="pageBreakPreview" zoomScale="80" zoomScaleNormal="100" zoomScaleSheetLayoutView="80" workbookViewId="0">
      <selection activeCell="E4" sqref="E4:M4"/>
    </sheetView>
  </sheetViews>
  <sheetFormatPr baseColWidth="10" defaultRowHeight="15" x14ac:dyDescent="0.25"/>
  <cols>
    <col min="1" max="1" width="1.5703125" style="28" customWidth="1"/>
    <col min="2" max="2" width="10" style="53" customWidth="1"/>
    <col min="3" max="3" width="3.85546875" style="1" customWidth="1"/>
    <col min="4" max="4" width="13" customWidth="1"/>
    <col min="6" max="6" width="21.85546875" customWidth="1"/>
    <col min="7" max="7" width="16.85546875" customWidth="1"/>
    <col min="8" max="8" width="14.42578125" customWidth="1"/>
    <col min="9" max="9" width="16.85546875" customWidth="1"/>
    <col min="10" max="10" width="8.7109375" style="29" customWidth="1"/>
    <col min="11" max="11" width="13.7109375" style="29" customWidth="1"/>
    <col min="12" max="12" width="4.85546875" customWidth="1"/>
    <col min="13" max="13" width="27.42578125" customWidth="1"/>
    <col min="14" max="14" width="32.140625" style="200" customWidth="1"/>
  </cols>
  <sheetData>
    <row r="1" spans="1:14" s="3" customFormat="1" ht="21" x14ac:dyDescent="0.35">
      <c r="A1" s="2"/>
      <c r="B1" s="221" t="s">
        <v>92</v>
      </c>
      <c r="C1" s="222"/>
      <c r="D1" s="222"/>
      <c r="E1" s="222"/>
      <c r="F1" s="222"/>
      <c r="G1" s="222"/>
      <c r="H1" s="222"/>
      <c r="I1" s="222"/>
      <c r="J1" s="222"/>
      <c r="K1" s="222"/>
      <c r="L1" s="222"/>
      <c r="M1" s="223"/>
      <c r="N1" s="191"/>
    </row>
    <row r="2" spans="1:14" s="5" customFormat="1" ht="17.25" x14ac:dyDescent="0.3">
      <c r="A2" s="4"/>
      <c r="B2" s="63" t="s">
        <v>45</v>
      </c>
      <c r="C2" s="6"/>
      <c r="D2" s="7"/>
      <c r="E2" s="224" t="s">
        <v>243</v>
      </c>
      <c r="F2" s="224"/>
      <c r="G2" s="224"/>
      <c r="H2" s="224"/>
      <c r="I2" s="224"/>
      <c r="J2" s="224"/>
      <c r="K2" s="224"/>
      <c r="L2" s="224"/>
      <c r="M2" s="225"/>
      <c r="N2" s="191"/>
    </row>
    <row r="3" spans="1:14" s="5" customFormat="1" ht="17.25" x14ac:dyDescent="0.3">
      <c r="A3" s="4"/>
      <c r="B3" s="63" t="s">
        <v>46</v>
      </c>
      <c r="C3" s="6"/>
      <c r="D3" s="7"/>
      <c r="E3" s="224" t="s">
        <v>244</v>
      </c>
      <c r="F3" s="224"/>
      <c r="G3" s="224"/>
      <c r="H3" s="224"/>
      <c r="I3" s="224"/>
      <c r="J3" s="224"/>
      <c r="K3" s="224"/>
      <c r="L3" s="224"/>
      <c r="M3" s="225"/>
      <c r="N3" s="191"/>
    </row>
    <row r="4" spans="1:14" s="11" customFormat="1" ht="21" x14ac:dyDescent="0.35">
      <c r="A4" s="8"/>
      <c r="B4" s="63" t="s">
        <v>47</v>
      </c>
      <c r="C4" s="9"/>
      <c r="D4" s="10"/>
      <c r="E4" s="224" t="s">
        <v>136</v>
      </c>
      <c r="F4" s="224"/>
      <c r="G4" s="224"/>
      <c r="H4" s="224"/>
      <c r="I4" s="224"/>
      <c r="J4" s="224"/>
      <c r="K4" s="224"/>
      <c r="L4" s="224"/>
      <c r="M4" s="225"/>
      <c r="N4" s="191"/>
    </row>
    <row r="5" spans="1:14" s="17" customFormat="1" ht="16.5" thickBot="1" x14ac:dyDescent="0.3">
      <c r="A5" s="12"/>
      <c r="B5" s="64" t="s">
        <v>48</v>
      </c>
      <c r="C5" s="13"/>
      <c r="D5" s="14"/>
      <c r="E5" s="15" t="s">
        <v>230</v>
      </c>
      <c r="F5" s="16"/>
      <c r="G5" s="16"/>
      <c r="H5" s="16"/>
      <c r="I5" s="16"/>
      <c r="J5" s="16" t="s">
        <v>49</v>
      </c>
      <c r="K5" s="16"/>
      <c r="L5" s="16"/>
      <c r="M5" s="65"/>
      <c r="N5" s="191"/>
    </row>
    <row r="6" spans="1:14" s="17" customFormat="1" ht="15.75" x14ac:dyDescent="0.25">
      <c r="A6" s="12"/>
      <c r="B6" s="64" t="s">
        <v>138</v>
      </c>
      <c r="C6" s="13"/>
      <c r="D6" s="14"/>
      <c r="E6" s="15" t="s">
        <v>241</v>
      </c>
      <c r="F6" s="16"/>
      <c r="G6" s="16"/>
      <c r="H6" s="16"/>
      <c r="I6" s="16"/>
      <c r="J6" s="16" t="s">
        <v>49</v>
      </c>
      <c r="K6" s="16"/>
      <c r="L6" s="16"/>
      <c r="M6" s="18" t="s">
        <v>240</v>
      </c>
      <c r="N6" s="191"/>
    </row>
    <row r="7" spans="1:14" s="17" customFormat="1" ht="16.5" customHeight="1" x14ac:dyDescent="0.4">
      <c r="A7" s="12"/>
      <c r="B7" s="66" t="s">
        <v>50</v>
      </c>
      <c r="C7" s="20"/>
      <c r="D7" s="21"/>
      <c r="E7" s="19" t="s">
        <v>51</v>
      </c>
      <c r="G7" s="19"/>
      <c r="H7" s="19"/>
      <c r="I7" s="19"/>
      <c r="J7" s="22"/>
      <c r="K7" s="22"/>
      <c r="L7" s="22"/>
      <c r="M7" s="23" t="s">
        <v>52</v>
      </c>
      <c r="N7" s="191"/>
    </row>
    <row r="8" spans="1:14" s="17" customFormat="1" ht="16.5" thickBot="1" x14ac:dyDescent="0.3">
      <c r="A8" s="12"/>
      <c r="B8" s="67" t="s">
        <v>53</v>
      </c>
      <c r="C8" s="20"/>
      <c r="D8" s="24" t="s">
        <v>54</v>
      </c>
      <c r="E8" s="25">
        <v>0</v>
      </c>
      <c r="G8" s="24"/>
      <c r="H8" s="24"/>
      <c r="I8" s="24"/>
      <c r="J8" s="26"/>
      <c r="K8" s="26"/>
      <c r="M8" s="27"/>
      <c r="N8" s="191"/>
    </row>
    <row r="9" spans="1:14" s="17" customFormat="1" ht="15.75" x14ac:dyDescent="0.25">
      <c r="A9" s="12"/>
      <c r="B9" s="67" t="s">
        <v>55</v>
      </c>
      <c r="C9" s="20"/>
      <c r="D9" s="24" t="s">
        <v>56</v>
      </c>
      <c r="E9" s="25">
        <v>1</v>
      </c>
      <c r="G9" s="24"/>
      <c r="H9" s="24"/>
      <c r="I9" s="24"/>
      <c r="J9" s="26"/>
      <c r="K9" s="26"/>
      <c r="M9" s="203" t="s">
        <v>242</v>
      </c>
      <c r="N9" s="191"/>
    </row>
    <row r="10" spans="1:14" s="17" customFormat="1" ht="15.75" x14ac:dyDescent="0.25">
      <c r="A10" s="12"/>
      <c r="B10" s="67" t="s">
        <v>57</v>
      </c>
      <c r="C10" s="20"/>
      <c r="D10" s="24" t="s">
        <v>58</v>
      </c>
      <c r="E10" s="25" t="s">
        <v>59</v>
      </c>
      <c r="G10" s="24"/>
      <c r="H10" s="24"/>
      <c r="I10" s="24"/>
      <c r="J10" s="26"/>
      <c r="K10" s="26"/>
      <c r="M10" s="68"/>
      <c r="N10" s="191"/>
    </row>
    <row r="11" spans="1:14" s="30" customFormat="1" ht="15.75" x14ac:dyDescent="0.25">
      <c r="A11" s="28"/>
      <c r="B11" s="69" t="s">
        <v>60</v>
      </c>
      <c r="C11" s="70"/>
      <c r="D11" s="33"/>
      <c r="E11" s="71" t="s">
        <v>91</v>
      </c>
      <c r="F11" s="33"/>
      <c r="G11" s="33"/>
      <c r="H11" s="33"/>
      <c r="I11" s="33"/>
      <c r="J11" s="72"/>
      <c r="K11" s="72"/>
      <c r="L11" s="33"/>
      <c r="M11" s="73"/>
      <c r="N11" s="192"/>
    </row>
    <row r="12" spans="1:14" s="30" customFormat="1" ht="15.75" customHeight="1" x14ac:dyDescent="0.25">
      <c r="A12" s="28"/>
      <c r="B12" s="74" t="s">
        <v>85</v>
      </c>
      <c r="C12" s="75"/>
      <c r="D12" s="76"/>
      <c r="E12" s="71" t="s">
        <v>146</v>
      </c>
      <c r="F12" s="76"/>
      <c r="G12" s="76"/>
      <c r="H12" s="76"/>
      <c r="I12" s="76"/>
      <c r="J12" s="76"/>
      <c r="K12" s="76"/>
      <c r="L12" s="76"/>
      <c r="M12" s="77"/>
      <c r="N12" s="193"/>
    </row>
    <row r="13" spans="1:14" s="30" customFormat="1" ht="15.75" customHeight="1" x14ac:dyDescent="0.25">
      <c r="A13" s="28"/>
      <c r="B13" s="78"/>
      <c r="C13" s="75"/>
      <c r="D13" s="76"/>
      <c r="E13" s="71" t="s">
        <v>147</v>
      </c>
      <c r="F13" s="76"/>
      <c r="G13" s="76"/>
      <c r="H13" s="76"/>
      <c r="I13" s="76"/>
      <c r="J13" s="76"/>
      <c r="K13" s="76"/>
      <c r="L13" s="76"/>
      <c r="M13" s="77"/>
      <c r="N13" s="193"/>
    </row>
    <row r="14" spans="1:14" s="30" customFormat="1" ht="15.75" customHeight="1" x14ac:dyDescent="0.25">
      <c r="A14" s="28"/>
      <c r="B14" s="78"/>
      <c r="C14" s="75"/>
      <c r="D14" s="76"/>
      <c r="E14" s="71" t="s">
        <v>89</v>
      </c>
      <c r="F14" s="76"/>
      <c r="G14" s="76"/>
      <c r="H14" s="76"/>
      <c r="I14" s="76"/>
      <c r="J14" s="76"/>
      <c r="K14" s="76"/>
      <c r="L14" s="76"/>
      <c r="M14" s="77"/>
      <c r="N14" s="193"/>
    </row>
    <row r="15" spans="1:14" s="30" customFormat="1" ht="15.75" customHeight="1" x14ac:dyDescent="0.25">
      <c r="A15" s="28"/>
      <c r="B15" s="78"/>
      <c r="C15" s="75"/>
      <c r="D15" s="76"/>
      <c r="E15" s="71" t="s">
        <v>90</v>
      </c>
      <c r="F15" s="76"/>
      <c r="G15" s="76"/>
      <c r="H15" s="76"/>
      <c r="I15" s="76"/>
      <c r="J15" s="76"/>
      <c r="K15" s="76"/>
      <c r="L15" s="76"/>
      <c r="M15" s="77"/>
      <c r="N15" s="193"/>
    </row>
    <row r="16" spans="1:14" s="30" customFormat="1" ht="15.75" customHeight="1" thickBot="1" x14ac:dyDescent="0.3">
      <c r="A16" s="28"/>
      <c r="B16" s="79" t="s">
        <v>93</v>
      </c>
      <c r="C16" s="80"/>
      <c r="D16" s="81"/>
      <c r="E16" s="82" t="s">
        <v>94</v>
      </c>
      <c r="F16" s="83"/>
      <c r="G16" s="83"/>
      <c r="H16" s="81"/>
      <c r="I16" s="81"/>
      <c r="J16" s="81"/>
      <c r="K16" s="81"/>
      <c r="L16" s="81"/>
      <c r="M16" s="84"/>
      <c r="N16" s="193"/>
    </row>
    <row r="17" spans="1:14" s="30" customFormat="1" ht="16.5" thickBot="1" x14ac:dyDescent="0.3">
      <c r="A17" s="28"/>
      <c r="B17" s="54"/>
      <c r="C17" s="31"/>
      <c r="D17" s="32"/>
      <c r="E17" s="32"/>
      <c r="F17" s="32"/>
      <c r="G17" s="32"/>
      <c r="H17" s="229" t="s">
        <v>86</v>
      </c>
      <c r="I17" s="230"/>
      <c r="J17" s="32"/>
      <c r="K17" s="32"/>
      <c r="L17" s="32"/>
      <c r="M17" s="32"/>
      <c r="N17" s="193"/>
    </row>
    <row r="18" spans="1:14" s="62" customFormat="1" ht="29.25" customHeight="1" thickBot="1" x14ac:dyDescent="0.3">
      <c r="A18" s="57"/>
      <c r="B18" s="58" t="s">
        <v>61</v>
      </c>
      <c r="C18" s="59" t="s">
        <v>62</v>
      </c>
      <c r="D18" s="226" t="s">
        <v>63</v>
      </c>
      <c r="E18" s="227"/>
      <c r="F18" s="227"/>
      <c r="G18" s="228"/>
      <c r="H18" s="40" t="s">
        <v>87</v>
      </c>
      <c r="I18" s="39" t="s">
        <v>88</v>
      </c>
      <c r="J18" s="60" t="s">
        <v>64</v>
      </c>
      <c r="K18" s="61" t="s">
        <v>65</v>
      </c>
      <c r="L18" s="61" t="s">
        <v>66</v>
      </c>
      <c r="M18" s="59" t="s">
        <v>67</v>
      </c>
      <c r="N18" s="194" t="s">
        <v>85</v>
      </c>
    </row>
    <row r="19" spans="1:14" s="142" customFormat="1" ht="15.75" x14ac:dyDescent="0.25">
      <c r="A19" s="132"/>
      <c r="B19" s="133" t="s">
        <v>34</v>
      </c>
      <c r="C19" s="134"/>
      <c r="D19" s="135"/>
      <c r="E19" s="136"/>
      <c r="F19" s="136"/>
      <c r="G19" s="137"/>
      <c r="H19" s="138"/>
      <c r="I19" s="136"/>
      <c r="J19" s="139"/>
      <c r="K19" s="140"/>
      <c r="L19" s="141"/>
      <c r="M19" s="138"/>
      <c r="N19" s="201"/>
    </row>
    <row r="20" spans="1:14" s="149" customFormat="1" ht="33" x14ac:dyDescent="0.25">
      <c r="A20" s="143" t="s">
        <v>234</v>
      </c>
      <c r="B20" s="133"/>
      <c r="C20" s="144">
        <v>1</v>
      </c>
      <c r="D20" s="218" t="s">
        <v>216</v>
      </c>
      <c r="E20" s="219"/>
      <c r="F20" s="219"/>
      <c r="G20" s="220"/>
      <c r="H20" s="129"/>
      <c r="I20" s="98"/>
      <c r="J20" s="145" t="s">
        <v>55</v>
      </c>
      <c r="K20" s="146"/>
      <c r="L20" s="147">
        <f>SUMIF(J20,B$9,E$9)</f>
        <v>1</v>
      </c>
      <c r="M20" s="148"/>
      <c r="N20" s="202" t="s">
        <v>217</v>
      </c>
    </row>
    <row r="21" spans="1:14" s="149" customFormat="1" ht="17.25" x14ac:dyDescent="0.25">
      <c r="A21" s="143" t="s">
        <v>68</v>
      </c>
      <c r="B21" s="133"/>
      <c r="C21" s="144">
        <v>2</v>
      </c>
      <c r="D21" s="218" t="s">
        <v>78</v>
      </c>
      <c r="E21" s="219"/>
      <c r="F21" s="219"/>
      <c r="G21" s="220"/>
      <c r="H21" s="129"/>
      <c r="I21" s="98"/>
      <c r="J21" s="145"/>
      <c r="K21" s="146"/>
      <c r="L21" s="147">
        <f>SUMIF(J21,B$9,E$9)</f>
        <v>0</v>
      </c>
      <c r="M21" s="148"/>
      <c r="N21" s="202" t="s">
        <v>218</v>
      </c>
    </row>
    <row r="22" spans="1:14" s="149" customFormat="1" ht="17.25" x14ac:dyDescent="0.25">
      <c r="A22" s="143" t="s">
        <v>68</v>
      </c>
      <c r="B22" s="133"/>
      <c r="C22" s="144">
        <v>3</v>
      </c>
      <c r="D22" s="218" t="s">
        <v>77</v>
      </c>
      <c r="E22" s="219"/>
      <c r="F22" s="219"/>
      <c r="G22" s="220"/>
      <c r="H22" s="129"/>
      <c r="I22" s="98"/>
      <c r="J22" s="145"/>
      <c r="K22" s="146"/>
      <c r="L22" s="147">
        <f>SUMIF(J22,B$9,E$9)</f>
        <v>0</v>
      </c>
      <c r="M22" s="148"/>
      <c r="N22" s="202" t="s">
        <v>217</v>
      </c>
    </row>
    <row r="23" spans="1:14" s="149" customFormat="1" ht="15.75" x14ac:dyDescent="0.25">
      <c r="A23" s="143"/>
      <c r="B23" s="133" t="s">
        <v>83</v>
      </c>
      <c r="C23" s="144"/>
      <c r="D23" s="97"/>
      <c r="E23" s="98"/>
      <c r="F23" s="98"/>
      <c r="G23" s="99"/>
      <c r="H23" s="129"/>
      <c r="I23" s="98"/>
      <c r="J23" s="145"/>
      <c r="K23" s="146"/>
      <c r="L23" s="147"/>
      <c r="M23" s="148"/>
      <c r="N23" s="202"/>
    </row>
    <row r="24" spans="1:14" s="149" customFormat="1" ht="17.25" x14ac:dyDescent="0.25">
      <c r="A24" s="143" t="s">
        <v>68</v>
      </c>
      <c r="B24" s="133"/>
      <c r="C24" s="144">
        <v>1</v>
      </c>
      <c r="D24" s="218" t="s">
        <v>216</v>
      </c>
      <c r="E24" s="219"/>
      <c r="F24" s="219"/>
      <c r="G24" s="220"/>
      <c r="H24" s="129"/>
      <c r="I24" s="98"/>
      <c r="J24" s="145"/>
      <c r="K24" s="146"/>
      <c r="L24" s="147">
        <f>SUMIF(J24,B$9,E$9)</f>
        <v>0</v>
      </c>
      <c r="M24" s="148"/>
      <c r="N24" s="202" t="s">
        <v>217</v>
      </c>
    </row>
    <row r="25" spans="1:14" s="153" customFormat="1" ht="17.25" x14ac:dyDescent="0.25">
      <c r="A25" s="150" t="s">
        <v>68</v>
      </c>
      <c r="B25" s="133"/>
      <c r="C25" s="144">
        <v>2</v>
      </c>
      <c r="D25" s="218" t="s">
        <v>2</v>
      </c>
      <c r="E25" s="219"/>
      <c r="F25" s="219"/>
      <c r="G25" s="220"/>
      <c r="H25" s="129"/>
      <c r="I25" s="98"/>
      <c r="J25" s="151"/>
      <c r="K25" s="152"/>
      <c r="L25" s="147">
        <f t="shared" ref="L25:L32" si="0">SUMIF(J25,B$9,E$9)</f>
        <v>0</v>
      </c>
      <c r="M25" s="147"/>
      <c r="N25" s="202" t="s">
        <v>217</v>
      </c>
    </row>
    <row r="26" spans="1:14" s="153" customFormat="1" ht="17.25" x14ac:dyDescent="0.25">
      <c r="A26" s="150" t="s">
        <v>68</v>
      </c>
      <c r="B26" s="133"/>
      <c r="C26" s="144">
        <v>3</v>
      </c>
      <c r="D26" s="218" t="s">
        <v>79</v>
      </c>
      <c r="E26" s="219"/>
      <c r="F26" s="219"/>
      <c r="G26" s="220"/>
      <c r="H26" s="129"/>
      <c r="I26" s="98"/>
      <c r="J26" s="151"/>
      <c r="K26" s="152"/>
      <c r="L26" s="147">
        <f t="shared" si="0"/>
        <v>0</v>
      </c>
      <c r="M26" s="147"/>
      <c r="N26" s="202" t="s">
        <v>217</v>
      </c>
    </row>
    <row r="27" spans="1:14" s="153" customFormat="1" ht="17.25" x14ac:dyDescent="0.25">
      <c r="A27" s="150" t="s">
        <v>68</v>
      </c>
      <c r="B27" s="133"/>
      <c r="C27" s="144">
        <v>4</v>
      </c>
      <c r="D27" s="218" t="s">
        <v>77</v>
      </c>
      <c r="E27" s="219"/>
      <c r="F27" s="219"/>
      <c r="G27" s="220"/>
      <c r="H27" s="129"/>
      <c r="I27" s="98"/>
      <c r="J27" s="151"/>
      <c r="K27" s="152"/>
      <c r="L27" s="147">
        <f t="shared" si="0"/>
        <v>0</v>
      </c>
      <c r="M27" s="147"/>
      <c r="N27" s="195" t="s">
        <v>217</v>
      </c>
    </row>
    <row r="28" spans="1:14" s="153" customFormat="1" ht="17.25" x14ac:dyDescent="0.25">
      <c r="A28" s="150" t="s">
        <v>68</v>
      </c>
      <c r="B28" s="133"/>
      <c r="C28" s="144">
        <v>5</v>
      </c>
      <c r="D28" s="218" t="s">
        <v>78</v>
      </c>
      <c r="E28" s="219"/>
      <c r="F28" s="219"/>
      <c r="G28" s="220"/>
      <c r="H28" s="129"/>
      <c r="I28" s="98"/>
      <c r="J28" s="151"/>
      <c r="K28" s="152"/>
      <c r="L28" s="147"/>
      <c r="M28" s="147"/>
      <c r="N28" s="195" t="s">
        <v>218</v>
      </c>
    </row>
    <row r="29" spans="1:14" s="153" customFormat="1" ht="17.25" x14ac:dyDescent="0.25">
      <c r="A29" s="150" t="s">
        <v>68</v>
      </c>
      <c r="B29" s="133" t="s">
        <v>80</v>
      </c>
      <c r="C29" s="144"/>
      <c r="D29" s="97"/>
      <c r="E29" s="98"/>
      <c r="F29" s="98"/>
      <c r="G29" s="99"/>
      <c r="H29" s="129"/>
      <c r="I29" s="98"/>
      <c r="J29" s="151"/>
      <c r="K29" s="152"/>
      <c r="L29" s="147"/>
      <c r="M29" s="147"/>
      <c r="N29" s="195"/>
    </row>
    <row r="30" spans="1:14" s="149" customFormat="1" ht="17.25" x14ac:dyDescent="0.25">
      <c r="A30" s="143" t="s">
        <v>68</v>
      </c>
      <c r="B30" s="133"/>
      <c r="C30" s="144">
        <v>1</v>
      </c>
      <c r="D30" s="218" t="s">
        <v>216</v>
      </c>
      <c r="E30" s="219"/>
      <c r="F30" s="219"/>
      <c r="G30" s="220"/>
      <c r="H30" s="129"/>
      <c r="I30" s="98"/>
      <c r="J30" s="145"/>
      <c r="K30" s="146"/>
      <c r="L30" s="147">
        <f>SUMIF(J30,B$9,E$9)</f>
        <v>0</v>
      </c>
      <c r="M30" s="148"/>
      <c r="N30" s="202" t="s">
        <v>217</v>
      </c>
    </row>
    <row r="31" spans="1:14" s="153" customFormat="1" ht="17.25" x14ac:dyDescent="0.25">
      <c r="A31" s="150" t="s">
        <v>68</v>
      </c>
      <c r="B31" s="147"/>
      <c r="C31" s="144">
        <v>2</v>
      </c>
      <c r="D31" s="218" t="s">
        <v>84</v>
      </c>
      <c r="E31" s="219"/>
      <c r="F31" s="219"/>
      <c r="G31" s="220"/>
      <c r="H31" s="129"/>
      <c r="I31" s="98"/>
      <c r="J31" s="151"/>
      <c r="K31" s="152"/>
      <c r="L31" s="147">
        <f t="shared" si="0"/>
        <v>0</v>
      </c>
      <c r="M31" s="147"/>
      <c r="N31" s="195" t="s">
        <v>219</v>
      </c>
    </row>
    <row r="32" spans="1:14" s="153" customFormat="1" ht="17.25" x14ac:dyDescent="0.25">
      <c r="A32" s="150" t="s">
        <v>68</v>
      </c>
      <c r="B32" s="147"/>
      <c r="C32" s="144">
        <v>3</v>
      </c>
      <c r="D32" s="231" t="s">
        <v>77</v>
      </c>
      <c r="E32" s="219"/>
      <c r="F32" s="219"/>
      <c r="G32" s="220"/>
      <c r="H32" s="129"/>
      <c r="I32" s="98"/>
      <c r="J32" s="151"/>
      <c r="K32" s="152"/>
      <c r="L32" s="147">
        <f t="shared" si="0"/>
        <v>0</v>
      </c>
      <c r="M32" s="147"/>
      <c r="N32" s="195" t="s">
        <v>217</v>
      </c>
    </row>
    <row r="33" spans="1:14" s="159" customFormat="1" ht="15.75" x14ac:dyDescent="0.25">
      <c r="A33" s="150"/>
      <c r="B33" s="133" t="s">
        <v>81</v>
      </c>
      <c r="C33" s="144"/>
      <c r="D33" s="154"/>
      <c r="E33" s="155"/>
      <c r="F33" s="155"/>
      <c r="G33" s="156"/>
      <c r="H33" s="157"/>
      <c r="I33" s="155"/>
      <c r="J33" s="151"/>
      <c r="K33" s="158"/>
      <c r="L33" s="147"/>
      <c r="M33" s="157"/>
      <c r="N33" s="196"/>
    </row>
    <row r="34" spans="1:14" s="159" customFormat="1" ht="33" x14ac:dyDescent="0.25">
      <c r="A34" s="150" t="s">
        <v>234</v>
      </c>
      <c r="B34" s="133"/>
      <c r="C34" s="144">
        <v>1</v>
      </c>
      <c r="D34" s="218" t="s">
        <v>220</v>
      </c>
      <c r="E34" s="219"/>
      <c r="F34" s="219"/>
      <c r="G34" s="220"/>
      <c r="H34" s="129"/>
      <c r="I34" s="98"/>
      <c r="J34" s="151"/>
      <c r="K34" s="158"/>
      <c r="L34" s="147">
        <f t="shared" ref="L34:L45" si="1">SUMIF(J34,B$9,E$9)</f>
        <v>0</v>
      </c>
      <c r="M34" s="157"/>
      <c r="N34" s="202" t="s">
        <v>217</v>
      </c>
    </row>
    <row r="35" spans="1:14" s="159" customFormat="1" ht="17.25" x14ac:dyDescent="0.25">
      <c r="A35" s="150" t="s">
        <v>68</v>
      </c>
      <c r="B35" s="133"/>
      <c r="C35" s="144">
        <v>2</v>
      </c>
      <c r="D35" s="218" t="s">
        <v>221</v>
      </c>
      <c r="E35" s="219"/>
      <c r="F35" s="219"/>
      <c r="G35" s="220"/>
      <c r="H35" s="129"/>
      <c r="I35" s="98"/>
      <c r="J35" s="151"/>
      <c r="K35" s="158"/>
      <c r="L35" s="147">
        <f t="shared" si="1"/>
        <v>0</v>
      </c>
      <c r="M35" s="157"/>
      <c r="N35" s="196" t="s">
        <v>222</v>
      </c>
    </row>
    <row r="36" spans="1:14" s="159" customFormat="1" ht="17.25" x14ac:dyDescent="0.25">
      <c r="A36" s="150" t="s">
        <v>68</v>
      </c>
      <c r="B36" s="133"/>
      <c r="C36" s="144">
        <v>3</v>
      </c>
      <c r="D36" s="218" t="s">
        <v>77</v>
      </c>
      <c r="E36" s="219"/>
      <c r="F36" s="219"/>
      <c r="G36" s="220"/>
      <c r="H36" s="129"/>
      <c r="I36" s="98"/>
      <c r="J36" s="151"/>
      <c r="K36" s="158"/>
      <c r="L36" s="147">
        <f t="shared" si="1"/>
        <v>0</v>
      </c>
      <c r="M36" s="157"/>
      <c r="N36" s="196" t="s">
        <v>217</v>
      </c>
    </row>
    <row r="37" spans="1:14" s="159" customFormat="1" ht="33" x14ac:dyDescent="0.25">
      <c r="A37" s="150" t="s">
        <v>234</v>
      </c>
      <c r="B37" s="133"/>
      <c r="C37" s="144">
        <v>4</v>
      </c>
      <c r="D37" s="231" t="s">
        <v>30</v>
      </c>
      <c r="E37" s="219"/>
      <c r="F37" s="219"/>
      <c r="G37" s="220"/>
      <c r="H37" s="129"/>
      <c r="I37" s="98"/>
      <c r="J37" s="151"/>
      <c r="K37" s="158"/>
      <c r="L37" s="147">
        <f t="shared" si="1"/>
        <v>0</v>
      </c>
      <c r="M37" s="157"/>
      <c r="N37" s="196" t="s">
        <v>219</v>
      </c>
    </row>
    <row r="38" spans="1:14" s="159" customFormat="1" ht="33" x14ac:dyDescent="0.25">
      <c r="A38" s="150" t="s">
        <v>234</v>
      </c>
      <c r="B38" s="133"/>
      <c r="C38" s="144">
        <v>5</v>
      </c>
      <c r="D38" s="231" t="s">
        <v>238</v>
      </c>
      <c r="E38" s="219"/>
      <c r="F38" s="219"/>
      <c r="G38" s="220"/>
      <c r="H38" s="129"/>
      <c r="I38" s="98"/>
      <c r="J38" s="151"/>
      <c r="K38" s="158"/>
      <c r="L38" s="147"/>
      <c r="M38" s="157"/>
      <c r="N38" s="196" t="s">
        <v>219</v>
      </c>
    </row>
    <row r="39" spans="1:14" s="159" customFormat="1" ht="17.25" x14ac:dyDescent="0.25">
      <c r="A39" s="150" t="s">
        <v>68</v>
      </c>
      <c r="B39" s="133" t="s">
        <v>82</v>
      </c>
      <c r="C39" s="144"/>
      <c r="D39" s="154"/>
      <c r="E39" s="155"/>
      <c r="F39" s="155"/>
      <c r="G39" s="156"/>
      <c r="H39" s="129"/>
      <c r="I39" s="98"/>
      <c r="J39" s="151"/>
      <c r="K39" s="158"/>
      <c r="L39" s="147"/>
      <c r="M39" s="157"/>
      <c r="N39" s="196"/>
    </row>
    <row r="40" spans="1:14" s="149" customFormat="1" ht="17.25" x14ac:dyDescent="0.25">
      <c r="A40" s="143" t="s">
        <v>68</v>
      </c>
      <c r="B40" s="133"/>
      <c r="C40" s="144">
        <v>1</v>
      </c>
      <c r="D40" s="218" t="s">
        <v>216</v>
      </c>
      <c r="E40" s="219"/>
      <c r="F40" s="219"/>
      <c r="G40" s="220"/>
      <c r="H40" s="129"/>
      <c r="I40" s="98"/>
      <c r="J40" s="145"/>
      <c r="K40" s="146"/>
      <c r="L40" s="147">
        <f>SUMIF(J40,B$9,E$9)</f>
        <v>0</v>
      </c>
      <c r="M40" s="148"/>
      <c r="N40" s="202" t="s">
        <v>217</v>
      </c>
    </row>
    <row r="41" spans="1:14" s="159" customFormat="1" ht="17.25" x14ac:dyDescent="0.25">
      <c r="A41" s="150" t="s">
        <v>68</v>
      </c>
      <c r="B41" s="133"/>
      <c r="C41" s="144">
        <v>2</v>
      </c>
      <c r="D41" s="218" t="s">
        <v>7</v>
      </c>
      <c r="E41" s="219"/>
      <c r="F41" s="219"/>
      <c r="G41" s="220"/>
      <c r="H41" s="129"/>
      <c r="I41" s="98"/>
      <c r="J41" s="151"/>
      <c r="K41" s="158"/>
      <c r="L41" s="147">
        <f t="shared" si="1"/>
        <v>0</v>
      </c>
      <c r="M41" s="157"/>
      <c r="N41" s="202" t="s">
        <v>217</v>
      </c>
    </row>
    <row r="42" spans="1:14" s="159" customFormat="1" ht="17.25" x14ac:dyDescent="0.25">
      <c r="A42" s="150" t="s">
        <v>68</v>
      </c>
      <c r="B42" s="133"/>
      <c r="C42" s="144">
        <v>3</v>
      </c>
      <c r="D42" s="231" t="s">
        <v>15</v>
      </c>
      <c r="E42" s="219"/>
      <c r="F42" s="219"/>
      <c r="G42" s="220"/>
      <c r="H42" s="129"/>
      <c r="I42" s="98"/>
      <c r="J42" s="151"/>
      <c r="K42" s="158"/>
      <c r="L42" s="147">
        <f t="shared" si="1"/>
        <v>0</v>
      </c>
      <c r="M42" s="157"/>
      <c r="N42" s="202" t="s">
        <v>217</v>
      </c>
    </row>
    <row r="43" spans="1:14" s="159" customFormat="1" ht="17.25" x14ac:dyDescent="0.25">
      <c r="A43" s="150" t="s">
        <v>68</v>
      </c>
      <c r="B43" s="133"/>
      <c r="C43" s="144">
        <v>4</v>
      </c>
      <c r="D43" s="218" t="s">
        <v>223</v>
      </c>
      <c r="E43" s="219"/>
      <c r="F43" s="219"/>
      <c r="G43" s="220"/>
      <c r="H43" s="129"/>
      <c r="I43" s="98"/>
      <c r="J43" s="151"/>
      <c r="K43" s="158"/>
      <c r="L43" s="147">
        <f t="shared" si="1"/>
        <v>0</v>
      </c>
      <c r="M43" s="157"/>
      <c r="N43" s="196" t="s">
        <v>219</v>
      </c>
    </row>
    <row r="44" spans="1:14" s="159" customFormat="1" ht="17.25" x14ac:dyDescent="0.25">
      <c r="A44" s="150" t="s">
        <v>68</v>
      </c>
      <c r="B44" s="133"/>
      <c r="C44" s="144">
        <v>5</v>
      </c>
      <c r="D44" s="231" t="s">
        <v>30</v>
      </c>
      <c r="E44" s="219"/>
      <c r="F44" s="219"/>
      <c r="G44" s="220"/>
      <c r="H44" s="129"/>
      <c r="I44" s="98"/>
      <c r="J44" s="151"/>
      <c r="K44" s="158"/>
      <c r="L44" s="147">
        <f t="shared" si="1"/>
        <v>0</v>
      </c>
      <c r="M44" s="157"/>
      <c r="N44" s="196" t="s">
        <v>219</v>
      </c>
    </row>
    <row r="45" spans="1:14" s="159" customFormat="1" ht="17.25" x14ac:dyDescent="0.25">
      <c r="A45" s="150" t="s">
        <v>68</v>
      </c>
      <c r="B45" s="133"/>
      <c r="C45" s="144">
        <v>6</v>
      </c>
      <c r="D45" s="231" t="s">
        <v>224</v>
      </c>
      <c r="E45" s="219"/>
      <c r="F45" s="219"/>
      <c r="G45" s="220"/>
      <c r="H45" s="129"/>
      <c r="I45" s="98"/>
      <c r="J45" s="151"/>
      <c r="K45" s="158"/>
      <c r="L45" s="147">
        <f t="shared" si="1"/>
        <v>0</v>
      </c>
      <c r="M45" s="157"/>
      <c r="N45" s="202" t="s">
        <v>217</v>
      </c>
    </row>
    <row r="46" spans="1:14" s="159" customFormat="1" ht="17.25" x14ac:dyDescent="0.25">
      <c r="A46" s="150" t="s">
        <v>68</v>
      </c>
      <c r="B46" s="133" t="s">
        <v>225</v>
      </c>
      <c r="C46" s="144"/>
      <c r="D46" s="154"/>
      <c r="E46" s="155"/>
      <c r="F46" s="155"/>
      <c r="G46" s="156"/>
      <c r="H46" s="129"/>
      <c r="I46" s="98"/>
      <c r="J46" s="151"/>
      <c r="K46" s="158"/>
      <c r="L46" s="147"/>
      <c r="M46" s="157"/>
      <c r="N46" s="196"/>
    </row>
    <row r="47" spans="1:14" s="149" customFormat="1" ht="17.25" x14ac:dyDescent="0.25">
      <c r="A47" s="143" t="s">
        <v>68</v>
      </c>
      <c r="B47" s="133"/>
      <c r="C47" s="144">
        <v>1</v>
      </c>
      <c r="D47" s="218" t="s">
        <v>216</v>
      </c>
      <c r="E47" s="219"/>
      <c r="F47" s="219"/>
      <c r="G47" s="220"/>
      <c r="H47" s="129"/>
      <c r="I47" s="98"/>
      <c r="J47" s="145"/>
      <c r="K47" s="146"/>
      <c r="L47" s="147">
        <f>SUMIF(J47,B$9,E$9)</f>
        <v>0</v>
      </c>
      <c r="M47" s="148"/>
      <c r="N47" s="202" t="s">
        <v>217</v>
      </c>
    </row>
    <row r="48" spans="1:14" s="159" customFormat="1" ht="17.25" customHeight="1" x14ac:dyDescent="0.25">
      <c r="A48" s="150" t="s">
        <v>68</v>
      </c>
      <c r="B48" s="133"/>
      <c r="C48" s="144">
        <v>2</v>
      </c>
      <c r="D48" s="231" t="s">
        <v>226</v>
      </c>
      <c r="E48" s="219" t="s">
        <v>131</v>
      </c>
      <c r="F48" s="219" t="s">
        <v>131</v>
      </c>
      <c r="G48" s="220" t="s">
        <v>131</v>
      </c>
      <c r="H48" s="129"/>
      <c r="I48" s="98"/>
      <c r="J48" s="151" t="s">
        <v>55</v>
      </c>
      <c r="K48" s="158"/>
      <c r="L48" s="147">
        <f t="shared" ref="L48:L50" si="2">SUMIF(J48,B$9,E$9)</f>
        <v>1</v>
      </c>
      <c r="M48" s="157"/>
      <c r="N48" s="196" t="s">
        <v>217</v>
      </c>
    </row>
    <row r="49" spans="1:14" s="159" customFormat="1" ht="17.25" x14ac:dyDescent="0.25">
      <c r="A49" s="150" t="s">
        <v>68</v>
      </c>
      <c r="B49" s="133"/>
      <c r="C49" s="144">
        <v>3</v>
      </c>
      <c r="D49" s="231" t="s">
        <v>227</v>
      </c>
      <c r="E49" s="219" t="s">
        <v>110</v>
      </c>
      <c r="F49" s="219" t="s">
        <v>110</v>
      </c>
      <c r="G49" s="220" t="s">
        <v>110</v>
      </c>
      <c r="H49" s="129"/>
      <c r="I49" s="98"/>
      <c r="J49" s="151" t="s">
        <v>55</v>
      </c>
      <c r="K49" s="158"/>
      <c r="L49" s="147">
        <f t="shared" si="2"/>
        <v>1</v>
      </c>
      <c r="M49" s="157"/>
      <c r="N49" s="196" t="s">
        <v>217</v>
      </c>
    </row>
    <row r="50" spans="1:14" s="159" customFormat="1" ht="15.75" customHeight="1" x14ac:dyDescent="0.25">
      <c r="A50" s="150" t="s">
        <v>68</v>
      </c>
      <c r="B50" s="133"/>
      <c r="C50" s="144">
        <v>4</v>
      </c>
      <c r="D50" s="231" t="s">
        <v>228</v>
      </c>
      <c r="E50" s="219" t="s">
        <v>132</v>
      </c>
      <c r="F50" s="219" t="s">
        <v>132</v>
      </c>
      <c r="G50" s="220" t="s">
        <v>132</v>
      </c>
      <c r="H50" s="129"/>
      <c r="I50" s="98"/>
      <c r="J50" s="151" t="s">
        <v>53</v>
      </c>
      <c r="K50" s="158"/>
      <c r="L50" s="147">
        <f t="shared" si="2"/>
        <v>0</v>
      </c>
      <c r="M50" s="157"/>
      <c r="N50" s="196" t="s">
        <v>217</v>
      </c>
    </row>
    <row r="51" spans="1:14" s="159" customFormat="1" ht="17.25" x14ac:dyDescent="0.25">
      <c r="A51" s="150" t="s">
        <v>68</v>
      </c>
      <c r="B51" s="133"/>
      <c r="C51" s="144">
        <v>5</v>
      </c>
      <c r="D51" s="218" t="s">
        <v>223</v>
      </c>
      <c r="E51" s="219"/>
      <c r="F51" s="219"/>
      <c r="G51" s="220"/>
      <c r="H51" s="129"/>
      <c r="I51" s="98"/>
      <c r="J51" s="151"/>
      <c r="K51" s="158"/>
      <c r="L51" s="147"/>
      <c r="M51" s="157"/>
      <c r="N51" s="196" t="s">
        <v>219</v>
      </c>
    </row>
    <row r="52" spans="1:14" s="159" customFormat="1" ht="17.25" x14ac:dyDescent="0.25">
      <c r="A52" s="160" t="s">
        <v>68</v>
      </c>
      <c r="B52" s="133"/>
      <c r="C52" s="144">
        <v>6</v>
      </c>
      <c r="D52" s="231" t="s">
        <v>224</v>
      </c>
      <c r="E52" s="219"/>
      <c r="F52" s="219"/>
      <c r="G52" s="220"/>
      <c r="H52" s="129"/>
      <c r="I52" s="98"/>
      <c r="J52" s="151"/>
      <c r="K52" s="158"/>
      <c r="L52" s="161"/>
      <c r="M52" s="157"/>
      <c r="N52" s="196" t="s">
        <v>217</v>
      </c>
    </row>
    <row r="53" spans="1:14" s="159" customFormat="1" ht="17.25" x14ac:dyDescent="0.25">
      <c r="A53" s="160" t="s">
        <v>68</v>
      </c>
      <c r="B53" s="133"/>
      <c r="C53" s="144">
        <v>7</v>
      </c>
      <c r="D53" s="218" t="s">
        <v>7</v>
      </c>
      <c r="E53" s="219"/>
      <c r="F53" s="219"/>
      <c r="G53" s="220"/>
      <c r="H53" s="129"/>
      <c r="I53" s="98"/>
      <c r="J53" s="151"/>
      <c r="K53" s="158"/>
      <c r="L53" s="161"/>
      <c r="M53" s="157"/>
      <c r="N53" s="196" t="s">
        <v>217</v>
      </c>
    </row>
    <row r="54" spans="1:14" s="155" customFormat="1" ht="17.25" customHeight="1" thickBot="1" x14ac:dyDescent="0.3">
      <c r="A54" s="162" t="s">
        <v>68</v>
      </c>
      <c r="B54" s="163"/>
      <c r="C54" s="164">
        <v>8</v>
      </c>
      <c r="D54" s="232" t="s">
        <v>30</v>
      </c>
      <c r="E54" s="233"/>
      <c r="F54" s="233"/>
      <c r="G54" s="234"/>
      <c r="H54" s="130"/>
      <c r="I54" s="130"/>
      <c r="J54" s="165"/>
      <c r="K54" s="166"/>
      <c r="L54" s="167"/>
      <c r="M54" s="168"/>
      <c r="N54" s="197" t="s">
        <v>219</v>
      </c>
    </row>
    <row r="55" spans="1:14" s="175" customFormat="1" ht="15.75" x14ac:dyDescent="0.25">
      <c r="A55" s="169"/>
      <c r="B55" s="131" t="s">
        <v>137</v>
      </c>
      <c r="C55" s="170"/>
      <c r="D55" s="34"/>
      <c r="E55" s="96"/>
      <c r="F55" s="96"/>
      <c r="G55" s="96"/>
      <c r="H55" s="96"/>
      <c r="I55" s="96"/>
      <c r="J55" s="171"/>
      <c r="K55" s="172"/>
      <c r="L55" s="173"/>
      <c r="M55" s="174"/>
      <c r="N55" s="198"/>
    </row>
    <row r="56" spans="1:14" s="175" customFormat="1" ht="15.75" x14ac:dyDescent="0.25">
      <c r="A56" s="169"/>
      <c r="B56" s="131"/>
      <c r="C56" s="170"/>
      <c r="D56" s="34"/>
      <c r="E56" s="96"/>
      <c r="F56" s="96"/>
      <c r="G56" s="96"/>
      <c r="H56" s="96"/>
      <c r="I56" s="96"/>
      <c r="J56" s="171"/>
      <c r="K56" s="172"/>
      <c r="L56" s="173"/>
      <c r="M56" s="174"/>
      <c r="N56" s="198"/>
    </row>
    <row r="57" spans="1:14" s="175" customFormat="1" ht="16.5" thickBot="1" x14ac:dyDescent="0.3">
      <c r="A57" s="169"/>
      <c r="B57" s="176"/>
      <c r="C57" s="177"/>
      <c r="D57" s="56"/>
      <c r="E57" s="55"/>
      <c r="F57" s="55"/>
      <c r="G57" s="55"/>
      <c r="H57" s="55"/>
      <c r="I57" s="55"/>
      <c r="J57" s="178"/>
      <c r="K57" s="172"/>
      <c r="L57" s="173">
        <f>SUM(L19:L51)</f>
        <v>3</v>
      </c>
      <c r="M57" s="179" t="s">
        <v>148</v>
      </c>
      <c r="N57" s="198"/>
    </row>
    <row r="58" spans="1:14" s="175" customFormat="1" x14ac:dyDescent="0.25">
      <c r="A58" s="180"/>
      <c r="B58" s="159"/>
      <c r="C58" s="181"/>
      <c r="E58" s="182"/>
      <c r="G58" s="182" t="s">
        <v>69</v>
      </c>
      <c r="H58" s="182"/>
      <c r="I58" s="182"/>
      <c r="J58" s="183"/>
      <c r="K58" s="235">
        <f>+L57/C22</f>
        <v>1</v>
      </c>
      <c r="L58" s="236"/>
      <c r="M58" s="182" t="s">
        <v>50</v>
      </c>
      <c r="N58" s="198"/>
    </row>
    <row r="59" spans="1:14" s="190" customFormat="1" ht="15.75" customHeight="1" thickBot="1" x14ac:dyDescent="0.3">
      <c r="A59" s="180"/>
      <c r="B59" s="184"/>
      <c r="C59" s="185"/>
      <c r="D59" s="186" t="s">
        <v>70</v>
      </c>
      <c r="E59" s="187"/>
      <c r="F59" s="188" t="s">
        <v>71</v>
      </c>
      <c r="G59" s="188" t="s">
        <v>72</v>
      </c>
      <c r="H59" s="188"/>
      <c r="I59" s="188"/>
      <c r="J59" s="189"/>
      <c r="K59" s="189"/>
      <c r="L59" s="237" t="s">
        <v>229</v>
      </c>
      <c r="M59" s="237"/>
      <c r="N59" s="199"/>
    </row>
    <row r="60" spans="1:14" s="190" customFormat="1" ht="15.75" thickTop="1" x14ac:dyDescent="0.25">
      <c r="A60" s="180"/>
      <c r="B60" s="184"/>
      <c r="C60" s="185"/>
      <c r="E60" s="187"/>
      <c r="F60" s="188" t="s">
        <v>73</v>
      </c>
      <c r="G60" s="188" t="s">
        <v>74</v>
      </c>
      <c r="H60" s="188"/>
      <c r="I60" s="188"/>
      <c r="J60" s="189"/>
      <c r="K60" s="189"/>
      <c r="L60" s="237"/>
      <c r="M60" s="237"/>
      <c r="N60" s="199"/>
    </row>
    <row r="61" spans="1:14" s="190" customFormat="1" x14ac:dyDescent="0.25">
      <c r="A61" s="180"/>
      <c r="B61" s="184"/>
      <c r="C61" s="185"/>
      <c r="E61" s="187"/>
      <c r="F61" s="188" t="s">
        <v>75</v>
      </c>
      <c r="G61" s="188" t="s">
        <v>76</v>
      </c>
      <c r="H61" s="188"/>
      <c r="I61" s="188"/>
      <c r="J61" s="189"/>
      <c r="K61" s="189"/>
      <c r="L61" s="237"/>
      <c r="M61" s="237"/>
      <c r="N61" s="199"/>
    </row>
  </sheetData>
  <mergeCells count="38">
    <mergeCell ref="D52:G52"/>
    <mergeCell ref="D53:G53"/>
    <mergeCell ref="D54:G54"/>
    <mergeCell ref="K58:L58"/>
    <mergeCell ref="L59:M61"/>
    <mergeCell ref="D25:G25"/>
    <mergeCell ref="D30:G30"/>
    <mergeCell ref="D36:G36"/>
    <mergeCell ref="D28:G28"/>
    <mergeCell ref="D27:G27"/>
    <mergeCell ref="D31:G31"/>
    <mergeCell ref="D35:G35"/>
    <mergeCell ref="D26:G26"/>
    <mergeCell ref="D32:G32"/>
    <mergeCell ref="D34:G34"/>
    <mergeCell ref="D37:G37"/>
    <mergeCell ref="D38:G38"/>
    <mergeCell ref="D41:G41"/>
    <mergeCell ref="D42:G42"/>
    <mergeCell ref="D43:G43"/>
    <mergeCell ref="D48:G48"/>
    <mergeCell ref="D49:G49"/>
    <mergeCell ref="D50:G50"/>
    <mergeCell ref="D51:G51"/>
    <mergeCell ref="D40:G40"/>
    <mergeCell ref="D47:G47"/>
    <mergeCell ref="D44:G44"/>
    <mergeCell ref="D45:G45"/>
    <mergeCell ref="D20:G20"/>
    <mergeCell ref="D21:G21"/>
    <mergeCell ref="D22:G22"/>
    <mergeCell ref="D24:G24"/>
    <mergeCell ref="B1:M1"/>
    <mergeCell ref="E2:M2"/>
    <mergeCell ref="E3:M3"/>
    <mergeCell ref="E4:M4"/>
    <mergeCell ref="D18:G18"/>
    <mergeCell ref="H17:I17"/>
  </mergeCells>
  <dataValidations count="2">
    <dataValidation type="list" allowBlank="1" showInputMessage="1" showErrorMessage="1" sqref="J19:K19 J55:K57" xr:uid="{A67DD745-F2CE-42E4-B9F1-9F122C175AA6}">
      <formula1>$B$8:$B$10</formula1>
    </dataValidation>
    <dataValidation type="list" allowBlank="1" showInputMessage="1" showErrorMessage="1" sqref="J20:K54" xr:uid="{F2D29E7B-50E0-4B64-8F4D-65E29BCD829C}">
      <formula1>$B$8:$B$9</formula1>
    </dataValidation>
  </dataValidations>
  <pageMargins left="0.70866141732283472" right="0.70866141732283472" top="0.74803149606299213" bottom="0.74803149606299213" header="0.31496062992125984" footer="0.31496062992125984"/>
  <pageSetup paperSize="9" scale="5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0DF1-A4EA-4658-9C67-3DD860C6B1EE}">
  <dimension ref="A1:F69"/>
  <sheetViews>
    <sheetView view="pageBreakPreview" zoomScale="90" zoomScaleNormal="85" zoomScaleSheetLayoutView="90" workbookViewId="0">
      <pane xSplit="5" ySplit="11" topLeftCell="F12" activePane="bottomRight" state="frozen"/>
      <selection pane="topRight" activeCell="F1" sqref="F1"/>
      <selection pane="bottomLeft" activeCell="A12" sqref="A12"/>
      <selection pane="bottomRight" activeCell="D3" sqref="D3"/>
    </sheetView>
  </sheetViews>
  <sheetFormatPr baseColWidth="10" defaultRowHeight="15" x14ac:dyDescent="0.25"/>
  <cols>
    <col min="1" max="1" width="2.28515625" style="127" customWidth="1"/>
    <col min="2" max="2" width="4.140625" style="115" customWidth="1"/>
    <col min="3" max="3" width="88.7109375" customWidth="1"/>
    <col min="4" max="4" width="4.85546875" customWidth="1"/>
    <col min="5" max="5" width="4.7109375" customWidth="1"/>
    <col min="6" max="6" width="67.85546875" customWidth="1"/>
  </cols>
  <sheetData>
    <row r="1" spans="1:6" s="5" customFormat="1" ht="17.25" x14ac:dyDescent="0.3">
      <c r="A1" s="4"/>
      <c r="B1" s="116" t="s">
        <v>45</v>
      </c>
      <c r="C1" s="117"/>
      <c r="D1" s="122" t="str">
        <f>+CUESTIONARIO1!E2</f>
        <v>TABACALERA MENHURSA S.A.</v>
      </c>
      <c r="E1" s="126"/>
      <c r="F1" s="123"/>
    </row>
    <row r="2" spans="1:6" s="5" customFormat="1" ht="17.25" x14ac:dyDescent="0.3">
      <c r="A2" s="4"/>
      <c r="B2" s="63" t="s">
        <v>46</v>
      </c>
      <c r="C2" s="6"/>
      <c r="D2" s="124" t="s">
        <v>244</v>
      </c>
      <c r="F2" s="125"/>
    </row>
    <row r="3" spans="1:6" s="11" customFormat="1" ht="21" x14ac:dyDescent="0.35">
      <c r="A3" s="8"/>
      <c r="B3" s="63" t="s">
        <v>47</v>
      </c>
      <c r="C3" s="9"/>
      <c r="D3" s="124" t="s">
        <v>210</v>
      </c>
      <c r="F3" s="125"/>
    </row>
    <row r="4" spans="1:6" s="17" customFormat="1" ht="15.75" x14ac:dyDescent="0.25">
      <c r="A4" s="12"/>
      <c r="B4" s="64" t="s">
        <v>48</v>
      </c>
      <c r="C4" s="13"/>
      <c r="D4" s="15" t="s">
        <v>231</v>
      </c>
      <c r="F4" s="65"/>
    </row>
    <row r="5" spans="1:6" s="17" customFormat="1" ht="15.75" x14ac:dyDescent="0.25">
      <c r="A5" s="12"/>
      <c r="B5" s="64" t="s">
        <v>138</v>
      </c>
      <c r="C5" s="13"/>
      <c r="D5" s="15" t="s">
        <v>241</v>
      </c>
      <c r="F5" s="65"/>
    </row>
    <row r="6" spans="1:6" s="17" customFormat="1" ht="16.5" customHeight="1" x14ac:dyDescent="0.25">
      <c r="A6" s="12"/>
      <c r="B6" s="64" t="s">
        <v>211</v>
      </c>
      <c r="C6" s="20"/>
      <c r="D6" s="15" t="s">
        <v>241</v>
      </c>
      <c r="F6" s="68"/>
    </row>
    <row r="7" spans="1:6" ht="16.5" thickBot="1" x14ac:dyDescent="0.3">
      <c r="B7" s="121" t="s">
        <v>212</v>
      </c>
      <c r="C7" s="118"/>
      <c r="D7" s="119" t="s">
        <v>232</v>
      </c>
      <c r="E7" s="118"/>
      <c r="F7" s="120"/>
    </row>
    <row r="8" spans="1:6" x14ac:dyDescent="0.25">
      <c r="F8" s="204" t="str">
        <f>+CUESTIONARIO1!M9</f>
        <v>Actualizado a octubre-2022</v>
      </c>
    </row>
    <row r="9" spans="1:6" ht="20.25" customHeight="1" x14ac:dyDescent="0.25">
      <c r="B9" s="238" t="s">
        <v>152</v>
      </c>
      <c r="C9" s="239"/>
      <c r="D9" s="239"/>
      <c r="E9" s="239"/>
      <c r="F9" s="240"/>
    </row>
    <row r="10" spans="1:6" ht="30" customHeight="1" x14ac:dyDescent="0.25">
      <c r="B10" s="241" t="s">
        <v>153</v>
      </c>
      <c r="C10" s="242"/>
      <c r="D10" s="242"/>
      <c r="E10" s="242"/>
      <c r="F10" s="243"/>
    </row>
    <row r="11" spans="1:6" ht="15.75" x14ac:dyDescent="0.25">
      <c r="B11" s="244" t="s">
        <v>154</v>
      </c>
      <c r="C11" s="245" t="s">
        <v>63</v>
      </c>
      <c r="D11" s="246" t="s">
        <v>155</v>
      </c>
      <c r="E11" s="247"/>
      <c r="F11" s="248"/>
    </row>
    <row r="12" spans="1:6" ht="15.75" x14ac:dyDescent="0.25">
      <c r="B12" s="244"/>
      <c r="C12" s="245"/>
      <c r="D12" s="100" t="s">
        <v>156</v>
      </c>
      <c r="E12" s="100" t="s">
        <v>157</v>
      </c>
      <c r="F12" s="100" t="s">
        <v>158</v>
      </c>
    </row>
    <row r="13" spans="1:6" ht="21" customHeight="1" x14ac:dyDescent="0.25">
      <c r="A13" s="127">
        <v>1</v>
      </c>
      <c r="B13" s="110">
        <v>1</v>
      </c>
      <c r="C13" s="101" t="s">
        <v>159</v>
      </c>
      <c r="D13" s="102"/>
      <c r="E13" s="102"/>
      <c r="F13" s="100"/>
    </row>
    <row r="14" spans="1:6" ht="16.5" x14ac:dyDescent="0.25">
      <c r="A14" s="127">
        <v>1</v>
      </c>
      <c r="B14" s="110">
        <v>2</v>
      </c>
      <c r="C14" s="101" t="s">
        <v>160</v>
      </c>
      <c r="D14" s="102"/>
      <c r="E14" s="102"/>
      <c r="F14" s="100"/>
    </row>
    <row r="15" spans="1:6" ht="16.5" x14ac:dyDescent="0.25">
      <c r="A15" s="127">
        <v>1</v>
      </c>
      <c r="B15" s="110">
        <v>3</v>
      </c>
      <c r="C15" s="101" t="s">
        <v>161</v>
      </c>
      <c r="D15" s="102"/>
      <c r="E15" s="102"/>
      <c r="F15" s="102"/>
    </row>
    <row r="16" spans="1:6" ht="16.5" x14ac:dyDescent="0.25">
      <c r="A16" s="127">
        <v>1</v>
      </c>
      <c r="B16" s="110">
        <v>4</v>
      </c>
      <c r="C16" s="101" t="s">
        <v>162</v>
      </c>
      <c r="D16" s="102"/>
      <c r="E16" s="102"/>
      <c r="F16" s="102"/>
    </row>
    <row r="17" spans="1:6" ht="16.5" x14ac:dyDescent="0.25">
      <c r="A17" s="127">
        <v>1</v>
      </c>
      <c r="B17" s="110">
        <v>5</v>
      </c>
      <c r="C17" s="101" t="s">
        <v>163</v>
      </c>
      <c r="D17" s="102"/>
      <c r="E17" s="102"/>
      <c r="F17" s="102"/>
    </row>
    <row r="18" spans="1:6" ht="16.5" x14ac:dyDescent="0.25">
      <c r="A18" s="127">
        <v>1</v>
      </c>
      <c r="B18" s="110">
        <v>6</v>
      </c>
      <c r="C18" s="101" t="s">
        <v>164</v>
      </c>
      <c r="D18" s="102"/>
      <c r="E18" s="102"/>
      <c r="F18" s="102"/>
    </row>
    <row r="19" spans="1:6" ht="31.5" x14ac:dyDescent="0.25">
      <c r="A19" s="127">
        <v>11</v>
      </c>
      <c r="B19" s="110">
        <v>7</v>
      </c>
      <c r="C19" s="101" t="s">
        <v>203</v>
      </c>
      <c r="D19" s="102"/>
      <c r="E19" s="102"/>
      <c r="F19" s="102"/>
    </row>
    <row r="20" spans="1:6" ht="16.5" x14ac:dyDescent="0.25">
      <c r="A20" s="127">
        <v>1</v>
      </c>
      <c r="B20" s="110">
        <v>8</v>
      </c>
      <c r="C20" s="103" t="s">
        <v>165</v>
      </c>
      <c r="D20" s="102"/>
      <c r="E20" s="102"/>
      <c r="F20" s="102"/>
    </row>
    <row r="21" spans="1:6" ht="16.5" x14ac:dyDescent="0.25">
      <c r="A21" s="128">
        <v>1</v>
      </c>
      <c r="B21" s="111">
        <v>9</v>
      </c>
      <c r="C21" s="104" t="s">
        <v>166</v>
      </c>
      <c r="D21" s="105"/>
      <c r="E21" s="105"/>
      <c r="F21" s="105"/>
    </row>
    <row r="22" spans="1:6" ht="16.5" x14ac:dyDescent="0.25">
      <c r="A22" s="128">
        <v>1</v>
      </c>
      <c r="B22" s="111">
        <v>10</v>
      </c>
      <c r="C22" s="104" t="s">
        <v>167</v>
      </c>
      <c r="D22" s="105"/>
      <c r="E22" s="105"/>
      <c r="F22" s="105"/>
    </row>
    <row r="23" spans="1:6" ht="16.5" x14ac:dyDescent="0.25">
      <c r="A23" s="128">
        <v>1</v>
      </c>
      <c r="B23" s="111">
        <v>11</v>
      </c>
      <c r="C23" s="104" t="s">
        <v>204</v>
      </c>
      <c r="D23" s="105"/>
      <c r="E23" s="105"/>
      <c r="F23" s="105"/>
    </row>
    <row r="24" spans="1:6" ht="16.5" x14ac:dyDescent="0.25">
      <c r="A24" s="128">
        <v>1</v>
      </c>
      <c r="B24" s="111">
        <v>12</v>
      </c>
      <c r="C24" s="104" t="s">
        <v>214</v>
      </c>
      <c r="D24" s="105"/>
      <c r="E24" s="105"/>
      <c r="F24" s="105"/>
    </row>
    <row r="25" spans="1:6" ht="16.5" x14ac:dyDescent="0.25">
      <c r="A25" s="128">
        <v>1</v>
      </c>
      <c r="B25" s="111">
        <v>13</v>
      </c>
      <c r="C25" s="104" t="s">
        <v>168</v>
      </c>
      <c r="D25" s="105"/>
      <c r="E25" s="105"/>
      <c r="F25" s="105"/>
    </row>
    <row r="26" spans="1:6" ht="16.5" x14ac:dyDescent="0.25">
      <c r="A26" s="128">
        <v>1</v>
      </c>
      <c r="B26" s="111">
        <v>14</v>
      </c>
      <c r="C26" s="104" t="s">
        <v>169</v>
      </c>
      <c r="D26" s="105"/>
      <c r="E26" s="105"/>
      <c r="F26" s="105"/>
    </row>
    <row r="27" spans="1:6" ht="16.5" x14ac:dyDescent="0.25">
      <c r="A27" s="128">
        <v>1</v>
      </c>
      <c r="B27" s="111">
        <v>15</v>
      </c>
      <c r="C27" s="104" t="s">
        <v>170</v>
      </c>
      <c r="D27" s="105"/>
      <c r="E27" s="105"/>
      <c r="F27" s="105"/>
    </row>
    <row r="28" spans="1:6" ht="16.5" x14ac:dyDescent="0.25">
      <c r="A28" s="128">
        <v>1</v>
      </c>
      <c r="B28" s="111">
        <v>16</v>
      </c>
      <c r="C28" s="104" t="s">
        <v>171</v>
      </c>
      <c r="D28" s="105"/>
      <c r="E28" s="105"/>
      <c r="F28" s="105"/>
    </row>
    <row r="29" spans="1:6" ht="16.5" x14ac:dyDescent="0.25">
      <c r="A29" s="128">
        <v>1</v>
      </c>
      <c r="B29" s="111">
        <v>17</v>
      </c>
      <c r="C29" s="104" t="s">
        <v>172</v>
      </c>
      <c r="D29" s="105"/>
      <c r="E29" s="105"/>
      <c r="F29" s="105"/>
    </row>
    <row r="30" spans="1:6" ht="16.5" x14ac:dyDescent="0.25">
      <c r="A30" s="128">
        <v>1</v>
      </c>
      <c r="B30" s="111">
        <v>18</v>
      </c>
      <c r="C30" s="104" t="s">
        <v>173</v>
      </c>
      <c r="D30" s="105"/>
      <c r="E30" s="105"/>
      <c r="F30" s="105"/>
    </row>
    <row r="31" spans="1:6" ht="16.5" x14ac:dyDescent="0.25">
      <c r="A31" s="128">
        <v>1</v>
      </c>
      <c r="B31" s="111">
        <v>19</v>
      </c>
      <c r="C31" s="104" t="s">
        <v>174</v>
      </c>
      <c r="D31" s="105"/>
      <c r="E31" s="105"/>
      <c r="F31" s="105"/>
    </row>
    <row r="32" spans="1:6" ht="16.5" x14ac:dyDescent="0.25">
      <c r="A32" s="128">
        <v>1</v>
      </c>
      <c r="B32" s="111">
        <v>20</v>
      </c>
      <c r="C32" s="104" t="s">
        <v>175</v>
      </c>
      <c r="D32" s="105"/>
      <c r="E32" s="105"/>
      <c r="F32" s="105"/>
    </row>
    <row r="33" spans="1:6" ht="16.5" x14ac:dyDescent="0.25">
      <c r="A33" s="128">
        <v>1</v>
      </c>
      <c r="B33" s="111">
        <v>21</v>
      </c>
      <c r="C33" s="104" t="s">
        <v>176</v>
      </c>
      <c r="D33" s="105"/>
      <c r="E33" s="105"/>
      <c r="F33" s="105"/>
    </row>
    <row r="34" spans="1:6" ht="16.5" x14ac:dyDescent="0.25">
      <c r="A34" s="128">
        <v>1</v>
      </c>
      <c r="B34" s="111">
        <v>22</v>
      </c>
      <c r="C34" s="104" t="s">
        <v>177</v>
      </c>
      <c r="D34" s="105"/>
      <c r="E34" s="105"/>
      <c r="F34" s="105"/>
    </row>
    <row r="35" spans="1:6" ht="16.5" x14ac:dyDescent="0.25">
      <c r="A35" s="128">
        <v>1</v>
      </c>
      <c r="B35" s="111">
        <v>23</v>
      </c>
      <c r="C35" s="104" t="s">
        <v>178</v>
      </c>
      <c r="D35" s="105"/>
      <c r="E35" s="105"/>
      <c r="F35" s="105"/>
    </row>
    <row r="36" spans="1:6" ht="16.5" x14ac:dyDescent="0.25">
      <c r="A36" s="128">
        <v>1</v>
      </c>
      <c r="B36" s="111">
        <v>24</v>
      </c>
      <c r="C36" s="104" t="s">
        <v>179</v>
      </c>
      <c r="D36" s="105"/>
      <c r="E36" s="105"/>
      <c r="F36" s="105"/>
    </row>
    <row r="37" spans="1:6" ht="16.5" x14ac:dyDescent="0.25">
      <c r="A37" s="128">
        <v>1</v>
      </c>
      <c r="B37" s="111">
        <v>25</v>
      </c>
      <c r="C37" s="104" t="s">
        <v>180</v>
      </c>
      <c r="D37" s="105"/>
      <c r="E37" s="105"/>
      <c r="F37" s="105"/>
    </row>
    <row r="38" spans="1:6" ht="16.5" x14ac:dyDescent="0.25">
      <c r="A38" s="128">
        <v>1</v>
      </c>
      <c r="B38" s="111">
        <v>26</v>
      </c>
      <c r="C38" s="104" t="s">
        <v>181</v>
      </c>
      <c r="D38" s="105"/>
      <c r="E38" s="105"/>
      <c r="F38" s="105"/>
    </row>
    <row r="39" spans="1:6" ht="31.5" x14ac:dyDescent="0.25">
      <c r="A39" s="128">
        <v>11</v>
      </c>
      <c r="B39" s="111">
        <v>27</v>
      </c>
      <c r="C39" s="104" t="s">
        <v>182</v>
      </c>
      <c r="D39" s="105"/>
      <c r="E39" s="105"/>
      <c r="F39" s="105"/>
    </row>
    <row r="40" spans="1:6" ht="16.5" x14ac:dyDescent="0.25">
      <c r="A40" s="128">
        <v>1</v>
      </c>
      <c r="B40" s="111">
        <v>28</v>
      </c>
      <c r="C40" s="104" t="s">
        <v>183</v>
      </c>
      <c r="D40" s="105"/>
      <c r="E40" s="105"/>
      <c r="F40" s="105"/>
    </row>
    <row r="41" spans="1:6" ht="16.5" x14ac:dyDescent="0.25">
      <c r="A41" s="128">
        <v>1</v>
      </c>
      <c r="B41" s="111">
        <v>29</v>
      </c>
      <c r="C41" s="104" t="s">
        <v>184</v>
      </c>
      <c r="D41" s="105"/>
      <c r="E41" s="105"/>
      <c r="F41" s="105"/>
    </row>
    <row r="42" spans="1:6" ht="16.5" x14ac:dyDescent="0.25">
      <c r="A42" s="128">
        <v>1</v>
      </c>
      <c r="B42" s="111">
        <v>30</v>
      </c>
      <c r="C42" s="104" t="s">
        <v>185</v>
      </c>
      <c r="D42" s="105"/>
      <c r="E42" s="105"/>
      <c r="F42" s="105"/>
    </row>
    <row r="43" spans="1:6" ht="16.5" x14ac:dyDescent="0.25">
      <c r="A43" s="128">
        <v>1</v>
      </c>
      <c r="B43" s="112">
        <v>31</v>
      </c>
      <c r="C43" s="104" t="s">
        <v>186</v>
      </c>
      <c r="D43" s="105"/>
      <c r="E43" s="105"/>
      <c r="F43" s="105"/>
    </row>
    <row r="44" spans="1:6" ht="16.5" x14ac:dyDescent="0.25">
      <c r="A44" s="128">
        <v>1</v>
      </c>
      <c r="B44" s="112">
        <v>32</v>
      </c>
      <c r="C44" s="104" t="s">
        <v>187</v>
      </c>
      <c r="D44" s="105"/>
      <c r="E44" s="105"/>
      <c r="F44" s="105"/>
    </row>
    <row r="45" spans="1:6" ht="16.5" x14ac:dyDescent="0.25">
      <c r="A45" s="128">
        <v>1</v>
      </c>
      <c r="B45" s="113">
        <v>34</v>
      </c>
      <c r="C45" s="104" t="s">
        <v>188</v>
      </c>
      <c r="D45" s="106"/>
      <c r="E45" s="106"/>
      <c r="F45" s="106"/>
    </row>
    <row r="46" spans="1:6" ht="16.5" x14ac:dyDescent="0.25">
      <c r="A46" s="128">
        <v>1</v>
      </c>
      <c r="B46" s="113">
        <v>35</v>
      </c>
      <c r="C46" s="104" t="s">
        <v>205</v>
      </c>
      <c r="D46" s="106"/>
      <c r="E46" s="106"/>
      <c r="F46" s="106"/>
    </row>
    <row r="47" spans="1:6" ht="16.5" x14ac:dyDescent="0.25">
      <c r="A47" s="128">
        <v>1</v>
      </c>
      <c r="B47" s="113">
        <v>37</v>
      </c>
      <c r="C47" s="104" t="s">
        <v>215</v>
      </c>
      <c r="D47" s="106"/>
      <c r="E47" s="106"/>
      <c r="F47" s="106"/>
    </row>
    <row r="48" spans="1:6" ht="16.5" x14ac:dyDescent="0.25">
      <c r="A48" s="128">
        <v>1</v>
      </c>
      <c r="B48" s="113">
        <v>38</v>
      </c>
      <c r="C48" s="104" t="s">
        <v>189</v>
      </c>
      <c r="D48" s="106"/>
      <c r="E48" s="106"/>
      <c r="F48" s="106"/>
    </row>
    <row r="49" spans="1:6" ht="16.5" x14ac:dyDescent="0.25">
      <c r="A49" s="128">
        <v>1</v>
      </c>
      <c r="B49" s="113">
        <v>39</v>
      </c>
      <c r="C49" s="104" t="s">
        <v>190</v>
      </c>
      <c r="D49" s="106"/>
      <c r="E49" s="106"/>
      <c r="F49" s="106"/>
    </row>
    <row r="50" spans="1:6" ht="16.5" x14ac:dyDescent="0.25">
      <c r="A50" s="128">
        <v>1</v>
      </c>
      <c r="B50" s="113">
        <v>40</v>
      </c>
      <c r="C50" s="104" t="s">
        <v>191</v>
      </c>
      <c r="D50" s="106"/>
      <c r="E50" s="106"/>
      <c r="F50" s="106"/>
    </row>
    <row r="51" spans="1:6" ht="16.5" x14ac:dyDescent="0.25">
      <c r="A51" s="128">
        <v>1</v>
      </c>
      <c r="B51" s="113">
        <v>41</v>
      </c>
      <c r="C51" s="104" t="s">
        <v>192</v>
      </c>
      <c r="D51" s="106"/>
      <c r="E51" s="106"/>
      <c r="F51" s="106"/>
    </row>
    <row r="52" spans="1:6" ht="16.5" x14ac:dyDescent="0.25">
      <c r="A52" s="128">
        <v>1</v>
      </c>
      <c r="B52" s="113">
        <v>42</v>
      </c>
      <c r="C52" s="104" t="s">
        <v>206</v>
      </c>
      <c r="D52" s="106"/>
      <c r="E52" s="106"/>
      <c r="F52" s="106"/>
    </row>
    <row r="53" spans="1:6" ht="16.5" x14ac:dyDescent="0.25">
      <c r="A53" s="128">
        <v>1</v>
      </c>
      <c r="B53" s="113">
        <v>43</v>
      </c>
      <c r="C53" s="104" t="s">
        <v>207</v>
      </c>
      <c r="D53" s="106"/>
      <c r="E53" s="106"/>
      <c r="F53" s="106"/>
    </row>
    <row r="54" spans="1:6" ht="16.5" x14ac:dyDescent="0.25">
      <c r="A54" s="128">
        <v>1</v>
      </c>
      <c r="B54" s="113">
        <v>44</v>
      </c>
      <c r="C54" s="104" t="s">
        <v>208</v>
      </c>
      <c r="D54" s="106"/>
      <c r="E54" s="106"/>
      <c r="F54" s="106"/>
    </row>
    <row r="55" spans="1:6" ht="16.5" x14ac:dyDescent="0.25">
      <c r="A55" s="128">
        <v>1</v>
      </c>
      <c r="B55" s="114">
        <v>45</v>
      </c>
      <c r="C55" s="104" t="s">
        <v>193</v>
      </c>
      <c r="D55" s="106"/>
      <c r="E55" s="106"/>
      <c r="F55" s="106"/>
    </row>
    <row r="56" spans="1:6" ht="16.5" x14ac:dyDescent="0.25">
      <c r="A56" s="128">
        <v>1</v>
      </c>
      <c r="B56" s="114">
        <v>46</v>
      </c>
      <c r="C56" s="104" t="s">
        <v>194</v>
      </c>
      <c r="D56" s="106"/>
      <c r="E56" s="106"/>
      <c r="F56" s="106"/>
    </row>
    <row r="57" spans="1:6" ht="16.5" x14ac:dyDescent="0.25">
      <c r="A57" s="128">
        <v>1</v>
      </c>
      <c r="B57" s="114">
        <v>47</v>
      </c>
      <c r="C57" s="104" t="s">
        <v>209</v>
      </c>
      <c r="D57" s="106"/>
      <c r="E57" s="106"/>
      <c r="F57" s="106"/>
    </row>
    <row r="58" spans="1:6" ht="16.5" x14ac:dyDescent="0.25">
      <c r="A58" s="128">
        <v>1</v>
      </c>
      <c r="B58" s="114">
        <v>48</v>
      </c>
      <c r="C58" s="104" t="s">
        <v>195</v>
      </c>
      <c r="D58" s="106"/>
      <c r="E58" s="106"/>
      <c r="F58" s="106"/>
    </row>
    <row r="59" spans="1:6" ht="15.75" customHeight="1" x14ac:dyDescent="0.25">
      <c r="A59" s="128">
        <v>1</v>
      </c>
      <c r="B59" s="114">
        <v>49</v>
      </c>
      <c r="C59" s="104" t="s">
        <v>196</v>
      </c>
      <c r="D59" s="106"/>
      <c r="E59" s="106"/>
      <c r="F59" s="106"/>
    </row>
    <row r="60" spans="1:6" ht="16.5" x14ac:dyDescent="0.25">
      <c r="A60" s="128">
        <v>1</v>
      </c>
      <c r="B60" s="114">
        <v>50</v>
      </c>
      <c r="C60" s="104" t="s">
        <v>197</v>
      </c>
      <c r="D60" s="106"/>
      <c r="E60" s="106"/>
      <c r="F60" s="106"/>
    </row>
    <row r="61" spans="1:6" ht="16.5" x14ac:dyDescent="0.25">
      <c r="A61" s="128">
        <v>1</v>
      </c>
      <c r="B61" s="114">
        <v>51</v>
      </c>
      <c r="C61" s="104" t="s">
        <v>198</v>
      </c>
      <c r="D61" s="106"/>
      <c r="E61" s="106"/>
      <c r="F61" s="106"/>
    </row>
    <row r="62" spans="1:6" x14ac:dyDescent="0.25">
      <c r="C62" s="107" t="s">
        <v>199</v>
      </c>
    </row>
    <row r="63" spans="1:6" x14ac:dyDescent="0.25">
      <c r="C63" s="108" t="s">
        <v>200</v>
      </c>
    </row>
    <row r="64" spans="1:6" x14ac:dyDescent="0.25">
      <c r="C64" s="108" t="s">
        <v>201</v>
      </c>
    </row>
    <row r="65" spans="3:6" x14ac:dyDescent="0.25">
      <c r="C65" s="108" t="s">
        <v>202</v>
      </c>
    </row>
    <row r="68" spans="3:6" x14ac:dyDescent="0.25">
      <c r="D68" s="109" t="s">
        <v>199</v>
      </c>
      <c r="E68" s="109"/>
      <c r="F68" s="109"/>
    </row>
    <row r="69" spans="3:6" x14ac:dyDescent="0.25">
      <c r="D69" s="109" t="s">
        <v>213</v>
      </c>
      <c r="E69" s="109"/>
      <c r="F69" s="109"/>
    </row>
  </sheetData>
  <mergeCells count="5">
    <mergeCell ref="B9:F9"/>
    <mergeCell ref="B10:F10"/>
    <mergeCell ref="B11:B12"/>
    <mergeCell ref="C11:C12"/>
    <mergeCell ref="D11:F11"/>
  </mergeCells>
  <pageMargins left="0.43307086614173229" right="0.47244094488188981" top="0.39370078740157483" bottom="0.39370078740157483" header="0.31496062992125984" footer="0.31496062992125984"/>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9"/>
  <sheetViews>
    <sheetView view="pageBreakPreview" zoomScale="70" zoomScaleNormal="100" zoomScaleSheetLayoutView="70" workbookViewId="0">
      <selection activeCell="D4" sqref="D4"/>
    </sheetView>
  </sheetViews>
  <sheetFormatPr baseColWidth="10" defaultColWidth="11.42578125" defaultRowHeight="15" x14ac:dyDescent="0.25"/>
  <cols>
    <col min="1" max="1" width="2" style="37" customWidth="1"/>
    <col min="2" max="2" width="11.5703125" style="41" customWidth="1"/>
    <col min="3" max="3" width="45.7109375" style="41" customWidth="1"/>
    <col min="4" max="4" width="61.140625" style="36" customWidth="1"/>
    <col min="5" max="5" width="27.42578125" style="41" customWidth="1"/>
    <col min="6" max="6" width="23.140625" style="41" customWidth="1"/>
    <col min="7" max="16384" width="11.42578125" style="35"/>
  </cols>
  <sheetData>
    <row r="1" spans="1:6" ht="46.5" customHeight="1" thickBot="1" x14ac:dyDescent="0.3">
      <c r="B1" s="249" t="s">
        <v>135</v>
      </c>
      <c r="C1" s="250"/>
      <c r="D1" s="250"/>
      <c r="E1" s="250"/>
    </row>
    <row r="2" spans="1:6" ht="18.75" thickBot="1" x14ac:dyDescent="0.3">
      <c r="B2" s="89"/>
      <c r="C2" s="89" t="s">
        <v>48</v>
      </c>
      <c r="D2" s="90" t="s">
        <v>233</v>
      </c>
      <c r="E2" s="86"/>
    </row>
    <row r="3" spans="1:6" ht="18.75" thickBot="1" x14ac:dyDescent="0.3">
      <c r="B3" s="89"/>
      <c r="C3" s="89" t="s">
        <v>143</v>
      </c>
      <c r="D3" s="206">
        <v>45202</v>
      </c>
      <c r="E3" s="86"/>
    </row>
    <row r="4" spans="1:6" ht="15.75" customHeight="1" thickBot="1" x14ac:dyDescent="0.3">
      <c r="B4" s="85"/>
      <c r="C4" s="86"/>
      <c r="D4" s="91"/>
      <c r="E4" s="86"/>
    </row>
    <row r="5" spans="1:6" ht="29.25" thickBot="1" x14ac:dyDescent="0.3">
      <c r="B5" s="42" t="s">
        <v>42</v>
      </c>
      <c r="C5" s="43" t="s">
        <v>43</v>
      </c>
      <c r="D5" s="92" t="s">
        <v>44</v>
      </c>
      <c r="E5" s="44" t="s">
        <v>41</v>
      </c>
      <c r="F5" s="95" t="s">
        <v>142</v>
      </c>
    </row>
    <row r="6" spans="1:6" ht="92.25" thickBot="1" x14ac:dyDescent="0.3">
      <c r="A6" s="37" t="s">
        <v>10</v>
      </c>
      <c r="B6" s="87" t="s">
        <v>3</v>
      </c>
      <c r="C6" s="87" t="s">
        <v>2</v>
      </c>
      <c r="D6" s="208" t="s">
        <v>0</v>
      </c>
      <c r="E6" s="87" t="s">
        <v>1</v>
      </c>
      <c r="F6" s="209" t="s">
        <v>149</v>
      </c>
    </row>
    <row r="7" spans="1:6" ht="107.25" thickBot="1" x14ac:dyDescent="0.3">
      <c r="A7" s="37" t="s">
        <v>14</v>
      </c>
      <c r="B7" s="210" t="s">
        <v>3</v>
      </c>
      <c r="C7" s="210" t="s">
        <v>5</v>
      </c>
      <c r="D7" s="211" t="s">
        <v>4</v>
      </c>
      <c r="E7" s="210" t="s">
        <v>1</v>
      </c>
      <c r="F7" s="207" t="s">
        <v>149</v>
      </c>
    </row>
    <row r="8" spans="1:6" ht="64.5" customHeight="1" thickBot="1" x14ac:dyDescent="0.3">
      <c r="A8" s="37" t="s">
        <v>13</v>
      </c>
      <c r="B8" s="210" t="s">
        <v>8</v>
      </c>
      <c r="C8" s="210" t="s">
        <v>7</v>
      </c>
      <c r="D8" s="211" t="s">
        <v>6</v>
      </c>
      <c r="E8" s="210" t="s">
        <v>1</v>
      </c>
      <c r="F8" s="207" t="s">
        <v>149</v>
      </c>
    </row>
    <row r="9" spans="1:6" ht="92.25" thickBot="1" x14ac:dyDescent="0.3">
      <c r="A9" s="37" t="s">
        <v>10</v>
      </c>
      <c r="B9" s="210" t="s">
        <v>8</v>
      </c>
      <c r="C9" s="210" t="s">
        <v>15</v>
      </c>
      <c r="D9" s="211" t="s">
        <v>9</v>
      </c>
      <c r="E9" s="210" t="s">
        <v>1</v>
      </c>
      <c r="F9" s="207" t="s">
        <v>139</v>
      </c>
    </row>
    <row r="10" spans="1:6" ht="105.75" customHeight="1" thickBot="1" x14ac:dyDescent="0.3">
      <c r="A10" s="38" t="s">
        <v>14</v>
      </c>
      <c r="B10" s="210" t="s">
        <v>17</v>
      </c>
      <c r="C10" s="210" t="s">
        <v>18</v>
      </c>
      <c r="D10" s="211" t="s">
        <v>16</v>
      </c>
      <c r="E10" s="210" t="s">
        <v>1</v>
      </c>
      <c r="F10" s="207" t="s">
        <v>149</v>
      </c>
    </row>
    <row r="11" spans="1:6" ht="122.25" customHeight="1" thickBot="1" x14ac:dyDescent="0.3">
      <c r="A11" s="37" t="s">
        <v>12</v>
      </c>
      <c r="B11" s="210" t="s">
        <v>17</v>
      </c>
      <c r="C11" s="212" t="s">
        <v>19</v>
      </c>
      <c r="D11" s="211" t="s">
        <v>23</v>
      </c>
      <c r="E11" s="210" t="s">
        <v>1</v>
      </c>
      <c r="F11" s="207" t="s">
        <v>149</v>
      </c>
    </row>
    <row r="12" spans="1:6" ht="179.25" customHeight="1" thickBot="1" x14ac:dyDescent="0.3">
      <c r="A12" s="37" t="s">
        <v>11</v>
      </c>
      <c r="B12" s="210" t="s">
        <v>22</v>
      </c>
      <c r="C12" s="212" t="s">
        <v>21</v>
      </c>
      <c r="D12" s="211" t="s">
        <v>20</v>
      </c>
      <c r="E12" s="210" t="s">
        <v>1</v>
      </c>
      <c r="F12" s="207" t="s">
        <v>149</v>
      </c>
    </row>
    <row r="13" spans="1:6" ht="50.25" customHeight="1" thickBot="1" x14ac:dyDescent="0.3">
      <c r="A13" s="37" t="s">
        <v>13</v>
      </c>
      <c r="B13" s="210" t="s">
        <v>3</v>
      </c>
      <c r="C13" s="212" t="s">
        <v>27</v>
      </c>
      <c r="D13" s="211" t="s">
        <v>26</v>
      </c>
      <c r="E13" s="213" t="s">
        <v>25</v>
      </c>
      <c r="F13" s="207" t="s">
        <v>150</v>
      </c>
    </row>
    <row r="14" spans="1:6" ht="174" customHeight="1" thickBot="1" x14ac:dyDescent="0.3">
      <c r="A14" s="38" t="s">
        <v>29</v>
      </c>
      <c r="B14" s="210" t="s">
        <v>31</v>
      </c>
      <c r="C14" s="210" t="s">
        <v>30</v>
      </c>
      <c r="D14" s="211" t="s">
        <v>97</v>
      </c>
      <c r="E14" s="210" t="s">
        <v>28</v>
      </c>
      <c r="F14" s="207" t="s">
        <v>141</v>
      </c>
    </row>
    <row r="15" spans="1:6" ht="122.25" customHeight="1" thickBot="1" x14ac:dyDescent="0.3">
      <c r="A15" s="37" t="s">
        <v>12</v>
      </c>
      <c r="B15" s="210" t="s">
        <v>34</v>
      </c>
      <c r="C15" s="210" t="s">
        <v>33</v>
      </c>
      <c r="D15" s="211" t="s">
        <v>32</v>
      </c>
      <c r="E15" s="210" t="s">
        <v>28</v>
      </c>
      <c r="F15" s="207" t="s">
        <v>141</v>
      </c>
    </row>
    <row r="16" spans="1:6" ht="129" customHeight="1" thickBot="1" x14ac:dyDescent="0.3">
      <c r="A16" s="37" t="s">
        <v>12</v>
      </c>
      <c r="B16" s="214" t="s">
        <v>22</v>
      </c>
      <c r="C16" s="215" t="s">
        <v>235</v>
      </c>
      <c r="D16" s="216" t="s">
        <v>236</v>
      </c>
      <c r="E16" s="214" t="s">
        <v>28</v>
      </c>
      <c r="F16" s="217" t="s">
        <v>237</v>
      </c>
    </row>
    <row r="17" spans="2:6" ht="90.75" thickBot="1" x14ac:dyDescent="0.3">
      <c r="B17" s="210" t="s">
        <v>34</v>
      </c>
      <c r="C17" s="210" t="s">
        <v>78</v>
      </c>
      <c r="D17" s="211" t="s">
        <v>98</v>
      </c>
      <c r="E17" s="210" t="s">
        <v>35</v>
      </c>
      <c r="F17" s="207" t="s">
        <v>140</v>
      </c>
    </row>
    <row r="18" spans="2:6" ht="59.25" customHeight="1" thickBot="1" x14ac:dyDescent="0.3">
      <c r="B18" s="210" t="s">
        <v>24</v>
      </c>
      <c r="C18" s="210" t="s">
        <v>77</v>
      </c>
      <c r="D18" s="211" t="s">
        <v>36</v>
      </c>
      <c r="E18" s="210" t="s">
        <v>1</v>
      </c>
      <c r="F18" s="207" t="s">
        <v>149</v>
      </c>
    </row>
    <row r="19" spans="2:6" ht="60.75" thickBot="1" x14ac:dyDescent="0.3">
      <c r="B19" s="210" t="s">
        <v>17</v>
      </c>
      <c r="C19" s="210" t="s">
        <v>96</v>
      </c>
      <c r="D19" s="211" t="s">
        <v>95</v>
      </c>
      <c r="E19" s="210" t="s">
        <v>28</v>
      </c>
      <c r="F19" s="207" t="s">
        <v>151</v>
      </c>
    </row>
  </sheetData>
  <mergeCells count="1">
    <mergeCell ref="B1:E1"/>
  </mergeCells>
  <pageMargins left="0.70866141732283472" right="0.70866141732283472" top="0.74803149606299213" bottom="0.74803149606299213" header="0.31496062992125984" footer="0.31496062992125984"/>
  <pageSetup paperSize="9" scale="3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tabSelected="1" workbookViewId="0">
      <selection activeCell="C4" sqref="C4"/>
    </sheetView>
  </sheetViews>
  <sheetFormatPr baseColWidth="10" defaultColWidth="11.42578125" defaultRowHeight="15" x14ac:dyDescent="0.25"/>
  <cols>
    <col min="1" max="1" width="13.5703125" style="46" customWidth="1"/>
    <col min="2" max="2" width="24.42578125" style="46" customWidth="1"/>
    <col min="3" max="3" width="41.28515625" style="46" customWidth="1"/>
    <col min="4" max="4" width="41.85546875" style="46" customWidth="1"/>
    <col min="5" max="16384" width="11.42578125" style="47"/>
  </cols>
  <sheetData>
    <row r="1" spans="1:4" ht="37.5" customHeight="1" thickBot="1" x14ac:dyDescent="0.3">
      <c r="A1" s="249" t="s">
        <v>135</v>
      </c>
      <c r="B1" s="250"/>
      <c r="C1" s="250"/>
      <c r="D1" s="250"/>
    </row>
    <row r="2" spans="1:4" ht="18.75" thickBot="1" x14ac:dyDescent="0.3">
      <c r="A2" s="88"/>
      <c r="B2" s="94" t="s">
        <v>144</v>
      </c>
      <c r="C2" s="93" t="s">
        <v>233</v>
      </c>
      <c r="D2" s="86"/>
    </row>
    <row r="3" spans="1:4" ht="18.75" thickBot="1" x14ac:dyDescent="0.3">
      <c r="A3" s="85"/>
      <c r="B3" s="94" t="s">
        <v>145</v>
      </c>
      <c r="C3" s="205">
        <v>45200</v>
      </c>
      <c r="D3" s="86"/>
    </row>
    <row r="4" spans="1:4" ht="18.75" thickBot="1" x14ac:dyDescent="0.3">
      <c r="A4" s="85"/>
      <c r="B4" s="94"/>
      <c r="C4" s="93"/>
      <c r="D4" s="86"/>
    </row>
    <row r="5" spans="1:4" s="45" customFormat="1" ht="32.25" thickBot="1" x14ac:dyDescent="0.3">
      <c r="A5" s="49" t="s">
        <v>37</v>
      </c>
      <c r="B5" s="48" t="s">
        <v>38</v>
      </c>
      <c r="C5" s="49" t="s">
        <v>39</v>
      </c>
      <c r="D5" s="49" t="s">
        <v>40</v>
      </c>
    </row>
    <row r="6" spans="1:4" x14ac:dyDescent="0.25">
      <c r="A6" s="251" t="s">
        <v>99</v>
      </c>
      <c r="B6" s="251" t="s">
        <v>100</v>
      </c>
      <c r="C6" s="50" t="s">
        <v>101</v>
      </c>
      <c r="D6" s="50" t="s">
        <v>103</v>
      </c>
    </row>
    <row r="7" spans="1:4" ht="30" x14ac:dyDescent="0.25">
      <c r="A7" s="252"/>
      <c r="B7" s="252"/>
      <c r="C7" s="51" t="s">
        <v>102</v>
      </c>
      <c r="D7" s="51" t="s">
        <v>104</v>
      </c>
    </row>
    <row r="8" spans="1:4" ht="30" x14ac:dyDescent="0.25">
      <c r="A8" s="252"/>
      <c r="B8" s="252"/>
      <c r="C8" s="51" t="s">
        <v>111</v>
      </c>
      <c r="D8" s="51" t="s">
        <v>105</v>
      </c>
    </row>
    <row r="9" spans="1:4" x14ac:dyDescent="0.25">
      <c r="A9" s="252"/>
      <c r="B9" s="252"/>
      <c r="C9" s="51"/>
      <c r="D9" s="51" t="s">
        <v>106</v>
      </c>
    </row>
    <row r="10" spans="1:4" ht="15.75" thickBot="1" x14ac:dyDescent="0.3">
      <c r="A10" s="253"/>
      <c r="B10" s="253"/>
      <c r="C10" s="52"/>
      <c r="D10" s="52" t="s">
        <v>107</v>
      </c>
    </row>
    <row r="11" spans="1:4" x14ac:dyDescent="0.25">
      <c r="A11" s="251" t="s">
        <v>108</v>
      </c>
      <c r="B11" s="251" t="s">
        <v>109</v>
      </c>
      <c r="C11" s="51" t="s">
        <v>110</v>
      </c>
      <c r="D11" s="51" t="s">
        <v>104</v>
      </c>
    </row>
    <row r="12" spans="1:4" x14ac:dyDescent="0.25">
      <c r="A12" s="252"/>
      <c r="B12" s="252"/>
      <c r="C12" s="51" t="s">
        <v>112</v>
      </c>
      <c r="D12" s="51" t="s">
        <v>103</v>
      </c>
    </row>
    <row r="13" spans="1:4" x14ac:dyDescent="0.25">
      <c r="A13" s="252"/>
      <c r="B13" s="252"/>
      <c r="C13" s="51" t="s">
        <v>113</v>
      </c>
      <c r="D13" s="51" t="s">
        <v>114</v>
      </c>
    </row>
    <row r="14" spans="1:4" x14ac:dyDescent="0.25">
      <c r="A14" s="252"/>
      <c r="B14" s="252"/>
      <c r="C14" s="51" t="s">
        <v>239</v>
      </c>
      <c r="D14" s="51" t="s">
        <v>115</v>
      </c>
    </row>
    <row r="15" spans="1:4" x14ac:dyDescent="0.25">
      <c r="A15" s="252"/>
      <c r="B15" s="252"/>
      <c r="C15" s="51"/>
      <c r="D15" s="51" t="s">
        <v>116</v>
      </c>
    </row>
    <row r="16" spans="1:4" x14ac:dyDescent="0.25">
      <c r="A16" s="252"/>
      <c r="B16" s="252"/>
      <c r="C16" s="51"/>
      <c r="D16" s="51" t="s">
        <v>107</v>
      </c>
    </row>
    <row r="17" spans="1:4" x14ac:dyDescent="0.25">
      <c r="A17" s="252"/>
      <c r="B17" s="252"/>
      <c r="C17" s="51"/>
      <c r="D17" s="51" t="s">
        <v>117</v>
      </c>
    </row>
    <row r="18" spans="1:4" ht="15.75" thickBot="1" x14ac:dyDescent="0.3">
      <c r="A18" s="253"/>
      <c r="B18" s="253"/>
      <c r="C18" s="51"/>
      <c r="D18" s="51" t="s">
        <v>118</v>
      </c>
    </row>
    <row r="19" spans="1:4" x14ac:dyDescent="0.25">
      <c r="A19" s="251" t="s">
        <v>119</v>
      </c>
      <c r="B19" s="251" t="s">
        <v>120</v>
      </c>
      <c r="C19" s="50" t="s">
        <v>110</v>
      </c>
      <c r="D19" s="50" t="s">
        <v>104</v>
      </c>
    </row>
    <row r="20" spans="1:4" x14ac:dyDescent="0.25">
      <c r="A20" s="252"/>
      <c r="B20" s="252"/>
      <c r="C20" s="51" t="s">
        <v>121</v>
      </c>
      <c r="D20" s="51" t="s">
        <v>123</v>
      </c>
    </row>
    <row r="21" spans="1:4" x14ac:dyDescent="0.25">
      <c r="A21" s="252"/>
      <c r="B21" s="252"/>
      <c r="C21" s="51" t="s">
        <v>122</v>
      </c>
      <c r="D21" s="51" t="s">
        <v>114</v>
      </c>
    </row>
    <row r="22" spans="1:4" x14ac:dyDescent="0.25">
      <c r="A22" s="252"/>
      <c r="B22" s="252"/>
      <c r="C22" s="51"/>
      <c r="D22" s="51" t="s">
        <v>124</v>
      </c>
    </row>
    <row r="23" spans="1:4" x14ac:dyDescent="0.25">
      <c r="A23" s="252"/>
      <c r="B23" s="252"/>
      <c r="C23" s="51"/>
      <c r="D23" s="51" t="s">
        <v>116</v>
      </c>
    </row>
    <row r="24" spans="1:4" x14ac:dyDescent="0.25">
      <c r="A24" s="252"/>
      <c r="B24" s="252"/>
      <c r="C24" s="51"/>
      <c r="D24" s="51" t="s">
        <v>126</v>
      </c>
    </row>
    <row r="25" spans="1:4" x14ac:dyDescent="0.25">
      <c r="A25" s="252"/>
      <c r="B25" s="252"/>
      <c r="C25" s="51"/>
      <c r="D25" s="51" t="s">
        <v>127</v>
      </c>
    </row>
    <row r="26" spans="1:4" ht="15.75" thickBot="1" x14ac:dyDescent="0.3">
      <c r="A26" s="253"/>
      <c r="B26" s="253"/>
      <c r="C26" s="52"/>
      <c r="D26" s="52" t="s">
        <v>128</v>
      </c>
    </row>
    <row r="27" spans="1:4" x14ac:dyDescent="0.25">
      <c r="A27" s="251" t="s">
        <v>129</v>
      </c>
      <c r="B27" s="251" t="s">
        <v>130</v>
      </c>
      <c r="C27" s="51" t="s">
        <v>131</v>
      </c>
      <c r="D27" s="51" t="s">
        <v>104</v>
      </c>
    </row>
    <row r="28" spans="1:4" x14ac:dyDescent="0.25">
      <c r="A28" s="252"/>
      <c r="B28" s="252"/>
      <c r="C28" s="51" t="s">
        <v>110</v>
      </c>
      <c r="D28" s="51" t="s">
        <v>103</v>
      </c>
    </row>
    <row r="29" spans="1:4" x14ac:dyDescent="0.25">
      <c r="A29" s="252"/>
      <c r="B29" s="252"/>
      <c r="C29" s="51" t="s">
        <v>132</v>
      </c>
      <c r="D29" s="51" t="s">
        <v>114</v>
      </c>
    </row>
    <row r="30" spans="1:4" x14ac:dyDescent="0.25">
      <c r="A30" s="252"/>
      <c r="B30" s="252"/>
      <c r="C30" s="51" t="s">
        <v>133</v>
      </c>
      <c r="D30" s="51" t="s">
        <v>124</v>
      </c>
    </row>
    <row r="31" spans="1:4" x14ac:dyDescent="0.25">
      <c r="A31" s="252"/>
      <c r="B31" s="252"/>
      <c r="C31" s="51" t="s">
        <v>134</v>
      </c>
      <c r="D31" s="51" t="s">
        <v>116</v>
      </c>
    </row>
    <row r="32" spans="1:4" ht="30.75" thickBot="1" x14ac:dyDescent="0.3">
      <c r="A32" s="253"/>
      <c r="B32" s="253"/>
      <c r="C32" s="52"/>
      <c r="D32" s="52" t="s">
        <v>125</v>
      </c>
    </row>
  </sheetData>
  <mergeCells count="9">
    <mergeCell ref="A27:A32"/>
    <mergeCell ref="B27:B32"/>
    <mergeCell ref="A1:D1"/>
    <mergeCell ref="A6:A10"/>
    <mergeCell ref="B6:B10"/>
    <mergeCell ref="A11:A18"/>
    <mergeCell ref="B11:B18"/>
    <mergeCell ref="A19:A26"/>
    <mergeCell ref="B19:B2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CUESTIONARIO1</vt:lpstr>
      <vt:lpstr>ENTREVISTA</vt:lpstr>
      <vt:lpstr>BASE LEGAL</vt:lpstr>
      <vt:lpstr>RESUMEN</vt:lpstr>
      <vt:lpstr>'BASE LEGAL'!Área_de_impresión</vt:lpstr>
      <vt:lpstr>CUESTIONARIO1!Área_de_impresión</vt:lpstr>
      <vt:lpstr>ENTREVISTA!Área_de_impresión</vt:lpstr>
      <vt:lpstr>ENTREVISTA!Títulos_a_imprimir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2021-10-26T17:21:20Z</cp:lastPrinted>
  <dcterms:created xsi:type="dcterms:W3CDTF">2019-08-05T21:34:18Z</dcterms:created>
  <dcterms:modified xsi:type="dcterms:W3CDTF">2023-09-29T16:43:05Z</dcterms:modified>
</cp:coreProperties>
</file>