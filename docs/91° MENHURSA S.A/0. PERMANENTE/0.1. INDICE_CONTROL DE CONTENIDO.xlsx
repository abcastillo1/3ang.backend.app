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Auditoria nico\2023\Elizabeth\91) TABACALERA MENHURSA S.A\0. PERMANENTE\"/>
    </mc:Choice>
  </mc:AlternateContent>
  <xr:revisionPtr revIDLastSave="0" documentId="13_ncr:1_{D7F28DA8-FD9F-4412-A2F2-12D65AEA50A8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A- Control Info Societaria" sheetId="1" r:id="rId1"/>
    <sheet name="B- Control Admin-Organizacional" sheetId="4" r:id="rId2"/>
    <sheet name="C- Control Contable Financiero" sheetId="5" r:id="rId3"/>
  </sheets>
  <definedNames>
    <definedName name="_xlnm.Print_Area" localSheetId="0">'A- Control Info Societaria'!$B$1:$J$52</definedName>
    <definedName name="_xlnm.Print_Area" localSheetId="1">'B- Control Admin-Organizacional'!$B$1:$J$38</definedName>
    <definedName name="_xlnm.Print_Area" localSheetId="2">'C- Control Contable Financiero'!$B$1:$J$54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2" i="4" l="1"/>
  <c r="H52" i="5"/>
  <c r="I7" i="1"/>
  <c r="I6" i="4"/>
  <c r="I7" i="4" s="1"/>
  <c r="I6" i="5" l="1"/>
  <c r="I7" i="5" s="1"/>
  <c r="Q29" i="5"/>
  <c r="Q30" i="5"/>
  <c r="Q31" i="5"/>
  <c r="Q32" i="5"/>
  <c r="Q33" i="5"/>
  <c r="Q34" i="5"/>
  <c r="Q36" i="5"/>
  <c r="Q37" i="5"/>
  <c r="Q38" i="5"/>
  <c r="Q40" i="5"/>
  <c r="Q41" i="5"/>
  <c r="Q42" i="5"/>
  <c r="Q43" i="5"/>
  <c r="Q45" i="5"/>
  <c r="Q46" i="5"/>
  <c r="M31" i="5"/>
  <c r="M32" i="5"/>
  <c r="M33" i="5"/>
  <c r="M34" i="5"/>
  <c r="M36" i="5"/>
  <c r="M37" i="5"/>
  <c r="M38" i="5"/>
  <c r="M40" i="5"/>
  <c r="M41" i="5"/>
  <c r="M42" i="5"/>
  <c r="M43" i="5"/>
  <c r="M45" i="5"/>
  <c r="M46" i="5"/>
  <c r="M30" i="5"/>
  <c r="M29" i="5"/>
  <c r="Q27" i="5"/>
  <c r="M27" i="5"/>
  <c r="Q26" i="5"/>
  <c r="M26" i="5"/>
  <c r="Q25" i="5"/>
  <c r="M25" i="5"/>
  <c r="Q24" i="5"/>
  <c r="M24" i="5"/>
  <c r="Q22" i="5"/>
  <c r="M22" i="5"/>
  <c r="Q21" i="5"/>
  <c r="M21" i="5"/>
  <c r="Q20" i="5"/>
  <c r="M20" i="5"/>
  <c r="Q19" i="5"/>
  <c r="M19" i="5"/>
  <c r="Q18" i="5"/>
  <c r="M18" i="5"/>
  <c r="Q16" i="5"/>
  <c r="M16" i="5"/>
  <c r="Q15" i="5"/>
  <c r="M15" i="5"/>
  <c r="Q31" i="4"/>
  <c r="N31" i="4"/>
  <c r="Q30" i="4"/>
  <c r="N30" i="4"/>
  <c r="Q29" i="4"/>
  <c r="N29" i="4"/>
  <c r="Q28" i="4"/>
  <c r="N28" i="4"/>
  <c r="Q27" i="4"/>
  <c r="N27" i="4"/>
  <c r="Q26" i="4"/>
  <c r="N26" i="4"/>
  <c r="Q25" i="4"/>
  <c r="N25" i="4"/>
  <c r="Q24" i="4"/>
  <c r="N24" i="4"/>
  <c r="Q23" i="4"/>
  <c r="N23" i="4"/>
  <c r="Q22" i="4"/>
  <c r="N22" i="4"/>
  <c r="Q21" i="4"/>
  <c r="N21" i="4"/>
  <c r="Q20" i="4"/>
  <c r="N20" i="4"/>
  <c r="Q19" i="4"/>
  <c r="N19" i="4"/>
  <c r="Q17" i="4"/>
  <c r="N17" i="4"/>
  <c r="Q16" i="4"/>
  <c r="N16" i="4"/>
  <c r="Q15" i="4"/>
  <c r="N15" i="4"/>
  <c r="Q16" i="1"/>
  <c r="Q17" i="1"/>
  <c r="Q18" i="1"/>
  <c r="Q19" i="1"/>
  <c r="Q20" i="1"/>
  <c r="Q22" i="1"/>
  <c r="Q23" i="1"/>
  <c r="Q24" i="1"/>
  <c r="Q26" i="1"/>
  <c r="Q27" i="1"/>
  <c r="Q29" i="1"/>
  <c r="Q30" i="1"/>
  <c r="Q31" i="1"/>
  <c r="Q32" i="1"/>
  <c r="Q33" i="1"/>
  <c r="Q35" i="1"/>
  <c r="Q36" i="1"/>
  <c r="Q37" i="1"/>
  <c r="Q38" i="1"/>
  <c r="Q39" i="1"/>
  <c r="Q40" i="1"/>
  <c r="Q41" i="1"/>
  <c r="Q42" i="1"/>
  <c r="Q43" i="1"/>
  <c r="Q44" i="1"/>
  <c r="Q45" i="1"/>
  <c r="Q15" i="1"/>
  <c r="N16" i="1"/>
  <c r="N17" i="1"/>
  <c r="N18" i="1"/>
  <c r="N19" i="1"/>
  <c r="N20" i="1"/>
  <c r="N22" i="1"/>
  <c r="N23" i="1"/>
  <c r="N24" i="1"/>
  <c r="N26" i="1"/>
  <c r="N27" i="1"/>
  <c r="N29" i="1"/>
  <c r="N30" i="1"/>
  <c r="N31" i="1"/>
  <c r="N32" i="1"/>
  <c r="N33" i="1"/>
  <c r="N35" i="1"/>
  <c r="N36" i="1"/>
  <c r="N37" i="1"/>
  <c r="N38" i="1"/>
  <c r="N39" i="1"/>
  <c r="N40" i="1"/>
  <c r="N41" i="1"/>
  <c r="N42" i="1"/>
  <c r="N43" i="1"/>
  <c r="N44" i="1"/>
  <c r="N45" i="1"/>
  <c r="N15" i="1"/>
  <c r="Q33" i="4" l="1"/>
  <c r="R33" i="4" s="1"/>
  <c r="M47" i="5"/>
  <c r="Q47" i="5"/>
  <c r="R47" i="5" s="1"/>
  <c r="N33" i="4"/>
  <c r="Q46" i="1"/>
  <c r="R46" i="1" s="1"/>
  <c r="N46" i="1"/>
  <c r="F5" i="4"/>
  <c r="F5" i="5" s="1"/>
  <c r="F6" i="4"/>
  <c r="F6" i="5" s="1"/>
  <c r="F7" i="4"/>
  <c r="F7" i="5" s="1"/>
  <c r="F4" i="4"/>
  <c r="F4" i="5" s="1"/>
  <c r="H50" i="5" l="1"/>
  <c r="H47" i="1"/>
  <c r="H48" i="5" s="1"/>
  <c r="H35" i="4"/>
  <c r="H49" i="5" s="1"/>
  <c r="H51" i="5" l="1"/>
</calcChain>
</file>

<file path=xl/sharedStrings.xml><?xml version="1.0" encoding="utf-8"?>
<sst xmlns="http://schemas.openxmlformats.org/spreadsheetml/2006/main" count="490" uniqueCount="168">
  <si>
    <t>A-</t>
  </si>
  <si>
    <t>01</t>
  </si>
  <si>
    <t>02.</t>
  </si>
  <si>
    <t>03.</t>
  </si>
  <si>
    <t>04.</t>
  </si>
  <si>
    <t>05.</t>
  </si>
  <si>
    <t>06.</t>
  </si>
  <si>
    <t>Nombramiento de Administradores.</t>
  </si>
  <si>
    <t>07.</t>
  </si>
  <si>
    <t>08.</t>
  </si>
  <si>
    <t>09.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</si>
  <si>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</si>
  <si>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</si>
  <si>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</si>
  <si>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</si>
  <si>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</si>
  <si>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</si>
  <si>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</si>
  <si>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</si>
  <si>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</si>
  <si>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</si>
  <si>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21.</t>
  </si>
  <si>
    <t>REF</t>
  </si>
  <si>
    <t>DESCRIPCIÓN</t>
  </si>
  <si>
    <t>PERÍODOS ANTERIORES</t>
  </si>
  <si>
    <t>OBSERVACIÓN</t>
  </si>
  <si>
    <t>FECHA DE ACTUALIZACIÓN</t>
  </si>
  <si>
    <t>COMPAÑÍA</t>
  </si>
  <si>
    <t>X</t>
  </si>
  <si>
    <t>✔</t>
  </si>
  <si>
    <t>N/A</t>
  </si>
  <si>
    <t>¿¿</t>
  </si>
  <si>
    <t>CONOCIMIENTO DEL NEGOCIO</t>
  </si>
  <si>
    <t>CUMPLIMIENTO</t>
  </si>
  <si>
    <t>A- Control Interno - Información Societaria</t>
  </si>
  <si>
    <t>COMPAÑÍA:</t>
  </si>
  <si>
    <t>PERÍODO AUDITADO:</t>
  </si>
  <si>
    <t>ELABORADO POR:</t>
  </si>
  <si>
    <t>FECHA:</t>
  </si>
  <si>
    <t>No Cumple.</t>
  </si>
  <si>
    <t>Si Cumple.</t>
  </si>
  <si>
    <t>No Aplica.</t>
  </si>
  <si>
    <t>NOTA FINAL:</t>
  </si>
  <si>
    <t>Firma y sello</t>
  </si>
  <si>
    <t>SUPERVISADO POR:</t>
  </si>
  <si>
    <t>B- Control Administrativo - Organizacional</t>
  </si>
  <si>
    <t>B-</t>
  </si>
  <si>
    <t>1.</t>
  </si>
  <si>
    <t>2.</t>
  </si>
  <si>
    <t>.1.</t>
  </si>
  <si>
    <t>.2.</t>
  </si>
  <si>
    <t>3.</t>
  </si>
  <si>
    <t>C-</t>
  </si>
  <si>
    <t>C- Control Contable y Financiero.</t>
  </si>
  <si>
    <t>.3.</t>
  </si>
  <si>
    <t>.4.</t>
  </si>
  <si>
    <t>Estados Financieros del Período Auditado.</t>
  </si>
  <si>
    <t>Ruc de la Compañía.</t>
  </si>
  <si>
    <t>RUP De la Compañía.</t>
  </si>
  <si>
    <t>Escrituras de Constitución.</t>
  </si>
  <si>
    <t>Nómina de Socios o Accionistas.</t>
  </si>
  <si>
    <t xml:space="preserve"> Gerente.</t>
  </si>
  <si>
    <t xml:space="preserve"> Presidente.</t>
  </si>
  <si>
    <t>Apoderado Especial.</t>
  </si>
  <si>
    <t>Informe Lav. Activos período Anterior.</t>
  </si>
  <si>
    <t>Otros Informes.</t>
  </si>
  <si>
    <t>Certificaciones de calidad.</t>
  </si>
  <si>
    <t>Permiso Anual de Funcionamiento.</t>
  </si>
  <si>
    <t>Contratos de Arrendamientos.</t>
  </si>
  <si>
    <t>Contratos de Asesores Legales-Tributarios.</t>
  </si>
  <si>
    <t>Contratos de Seguros.</t>
  </si>
  <si>
    <t>Acta de Contratación de Auditoría Externa.</t>
  </si>
  <si>
    <t>Contratos por Patentes y Regalias.</t>
  </si>
  <si>
    <t>LUAE (Licencia Metropolitana) de ser el caso.</t>
  </si>
  <si>
    <t>Manual de Funciones- Organigramas de la Compañía.</t>
  </si>
  <si>
    <t>Libros Societarios.</t>
  </si>
  <si>
    <t>Libro de actas.</t>
  </si>
  <si>
    <t>Libro de expedientes.</t>
  </si>
  <si>
    <t>Libro de Participaciones.</t>
  </si>
  <si>
    <t>Reglamento Interno de Trabajo.</t>
  </si>
  <si>
    <t>Reglamento de Contratación de Empleados.</t>
  </si>
  <si>
    <t>Reglamento de Higiene y Seguridad (+10 trab).</t>
  </si>
  <si>
    <t>Conformación de Organismos Paritarios.</t>
  </si>
  <si>
    <t>Otros Organismos.</t>
  </si>
  <si>
    <t>Estudios Actuariales.</t>
  </si>
  <si>
    <t>Políticas, Contables y Presupuestarias.</t>
  </si>
  <si>
    <t>Manual de funciones del Sistema Contable.</t>
  </si>
  <si>
    <t>Módulos, Pantallas de uso del sistema.</t>
  </si>
  <si>
    <t>Contrato de prestación del servicio.</t>
  </si>
  <si>
    <t>Información del Sistema Contable (cuadro ICT).</t>
  </si>
  <si>
    <t>Plan de cuentas.</t>
  </si>
  <si>
    <t>Notas a los Estados Financieros.</t>
  </si>
  <si>
    <t>Estados Financieros del período anterior.</t>
  </si>
  <si>
    <t xml:space="preserve"> Estado de Situación Financiera.</t>
  </si>
  <si>
    <t>Flujos de Efectivo.</t>
  </si>
  <si>
    <t>Estado de Cambios en el Patrimonio.</t>
  </si>
  <si>
    <t xml:space="preserve"> Formulario 101 (desde la fecha de constitución).</t>
  </si>
  <si>
    <t>Mapeo Form 101. Año Anterior.</t>
  </si>
  <si>
    <t>Políticas Financieras -Crédito.</t>
  </si>
  <si>
    <t>Informe de Cumplimiento Tributario ICT periodo Anterior.</t>
  </si>
  <si>
    <t xml:space="preserve"> Anexos.</t>
  </si>
  <si>
    <t xml:space="preserve"> Opinión.</t>
  </si>
  <si>
    <t xml:space="preserve"> Recomendaciones Tributarias.</t>
  </si>
  <si>
    <t xml:space="preserve"> Planillas de Impuesto Predial.</t>
  </si>
  <si>
    <t>AUDITOR 3ANG</t>
  </si>
  <si>
    <t>REVISADO POR:</t>
  </si>
  <si>
    <t xml:space="preserve"> Formulario 101 (período auditado).</t>
  </si>
  <si>
    <t>Codigo de Etica Aprobado</t>
  </si>
  <si>
    <t>Aumento de Capital. Y Aumento de Reservas.</t>
  </si>
  <si>
    <t>Transferencia de Acciones</t>
  </si>
  <si>
    <t>Informe del gerente y comisario</t>
  </si>
  <si>
    <t>Informe del Gerente</t>
  </si>
  <si>
    <t>Informe del Comisario</t>
  </si>
  <si>
    <t>Informe periodos anteriores</t>
  </si>
  <si>
    <t>Recomendaciones periodos anteriores</t>
  </si>
  <si>
    <t xml:space="preserve"> Auditoría externa períodos Anteriores.</t>
  </si>
  <si>
    <t>Contratos Significativos Vigentes</t>
  </si>
  <si>
    <t>Principales Clientes</t>
  </si>
  <si>
    <t>Principales Proveedores</t>
  </si>
  <si>
    <t>Hoja Membretada de la compañía</t>
  </si>
  <si>
    <t>Manual de Procesos y Operaciones</t>
  </si>
  <si>
    <t>Otros Manuales</t>
  </si>
  <si>
    <t xml:space="preserve">4. </t>
  </si>
  <si>
    <t>Plan de Contingencia y otros</t>
  </si>
  <si>
    <t>Reglamento Interno de Mercado de Valores</t>
  </si>
  <si>
    <t>Listado de Bancos y operaciones</t>
  </si>
  <si>
    <t>Popiedad Planta y Equipo.</t>
  </si>
  <si>
    <t>Cuadro de Activos Fijos</t>
  </si>
  <si>
    <t>Escrituras de terrenos</t>
  </si>
  <si>
    <t>Planos y fotos</t>
  </si>
  <si>
    <t>20.</t>
  </si>
  <si>
    <t>22.</t>
  </si>
  <si>
    <t>01.</t>
  </si>
  <si>
    <t>Planillas de Servicios Basicos vigentes</t>
  </si>
  <si>
    <t>Libro de certificado de Aportaciones</t>
  </si>
  <si>
    <t>12</t>
  </si>
  <si>
    <t>Cuadro detalle de Activo Biológico</t>
  </si>
  <si>
    <t>Activo Biológico</t>
  </si>
  <si>
    <t>Valoración, perito, otros</t>
  </si>
  <si>
    <t>0</t>
  </si>
  <si>
    <t>Ponderación</t>
  </si>
  <si>
    <t>23</t>
  </si>
  <si>
    <t>C.CUMPLIMIENTO</t>
  </si>
  <si>
    <t>A. CUMPLIMIENTO</t>
  </si>
  <si>
    <t>B. CUMPLIMIENTO</t>
  </si>
  <si>
    <t>TOTAL CUMPLIMIENTO</t>
  </si>
  <si>
    <t>% Cumplimiento</t>
  </si>
  <si>
    <t>61% al 100%</t>
  </si>
  <si>
    <t>31% al 60%</t>
  </si>
  <si>
    <t>1% al 30%</t>
  </si>
  <si>
    <t>RIESGO</t>
  </si>
  <si>
    <t>BAJO</t>
  </si>
  <si>
    <t>MODERADO</t>
  </si>
  <si>
    <t>ALTO</t>
  </si>
  <si>
    <t xml:space="preserve">EL RIESGO DE LA CIA ES </t>
  </si>
  <si>
    <t>Debe llenar todos los campos, los items no llenados o vacíos se califican como incumplimiento</t>
  </si>
  <si>
    <t>Instrucciones:</t>
  </si>
  <si>
    <t>PERÍODO AUDITADO 2022</t>
  </si>
  <si>
    <t>3 A.N.G ADMINISTRACION DE NEGOCIOS GERENCIALES CÍA. LTDA.</t>
  </si>
  <si>
    <t>Kely Balarezo</t>
  </si>
  <si>
    <r>
      <t xml:space="preserve">APROBADO: </t>
    </r>
    <r>
      <rPr>
        <b/>
        <sz val="12"/>
        <color rgb="FFFF0000"/>
        <rFont val="Calibri Light"/>
        <family val="2"/>
        <scheme val="major"/>
      </rPr>
      <t>R.C.</t>
    </r>
  </si>
  <si>
    <r>
      <t xml:space="preserve">APROBADO POR: </t>
    </r>
    <r>
      <rPr>
        <b/>
        <sz val="13"/>
        <color rgb="FFFF0000"/>
        <rFont val="Calibri Light"/>
        <family val="2"/>
        <scheme val="major"/>
      </rPr>
      <t>R.C.</t>
    </r>
  </si>
  <si>
    <t>Contrato Salud Ocupacional</t>
  </si>
  <si>
    <t>Del 01 de enero a 31 de diciembre del 2023</t>
  </si>
  <si>
    <t>Elizabeth Palacios</t>
  </si>
  <si>
    <t>Papel de Trbajo Actualizado al 24 de agosto del 2023</t>
  </si>
  <si>
    <t>PENDIENTE</t>
  </si>
  <si>
    <t>TABACALERA MENHURSA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</si>
</sst>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4" x14ac:knownFonts="1">
    <font>
      <sz val="11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2"/>
      <color rgb="FFFF0000"/>
      <name val="Calibri Light"/>
      <family val="2"/>
      <scheme val="major"/>
    </font>
    <font>
      <b/>
      <sz val="11"/>
      <color rgb="FFFF0000"/>
      <name val="Arial"/>
      <family val="2"/>
    </font>
    <font>
      <b/>
      <sz val="20"/>
      <color theme="1"/>
      <name val="Calibri Light"/>
      <family val="2"/>
      <scheme val="major"/>
    </font>
    <font>
      <b/>
      <sz val="18"/>
      <color theme="1"/>
      <name val="Calibri Light"/>
      <family val="2"/>
      <scheme val="major"/>
    </font>
    <font>
      <b/>
      <u/>
      <sz val="12"/>
      <color rgb="FF002060"/>
      <name val="Calibri Light"/>
      <family val="2"/>
      <scheme val="major"/>
    </font>
    <font>
      <i/>
      <sz val="10"/>
      <color theme="1"/>
      <name val="Calibri Light"/>
      <family val="2"/>
      <scheme val="major"/>
    </font>
    <font>
      <b/>
      <sz val="13"/>
      <color theme="1"/>
      <name val="Calibri Light"/>
      <family val="2"/>
      <scheme val="major"/>
    </font>
    <font>
      <sz val="13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sz val="14"/>
      <color theme="1"/>
      <name val="Calibri Light"/>
      <family val="2"/>
      <scheme val="major"/>
    </font>
    <font>
      <b/>
      <sz val="13"/>
      <color rgb="FFFF0000"/>
      <name val="Calibri Light"/>
      <family val="2"/>
      <scheme val="major"/>
    </font>
    <font>
      <b/>
      <u/>
      <sz val="13"/>
      <color theme="1"/>
      <name val="Calibri Light"/>
      <family val="2"/>
      <scheme val="maj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 Light"/>
      <family val="2"/>
      <scheme val="major"/>
    </font>
    <font>
      <b/>
      <u/>
      <sz val="12"/>
      <color theme="1"/>
      <name val="Calibri Light"/>
      <family val="2"/>
      <scheme val="major"/>
    </font>
    <font>
      <b/>
      <u/>
      <sz val="11"/>
      <color theme="1"/>
      <name val="Calibri Light"/>
      <family val="2"/>
      <scheme val="major"/>
    </font>
    <font>
      <i/>
      <sz val="10"/>
      <color rgb="FFFF0000"/>
      <name val="Calibri Light"/>
      <family val="2"/>
      <scheme val="major"/>
    </font>
    <font>
      <sz val="12"/>
      <color rgb="FFFF0000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CECFF"/>
        <bgColor indexed="64"/>
      </patternFill>
    </fill>
  </fills>
  <borders count="6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/>
      <right style="medium">
        <color rgb="FF002060"/>
      </right>
      <top/>
      <bottom style="medium">
        <color indexed="64"/>
      </bottom>
      <diagonal/>
    </border>
    <border>
      <left style="thin">
        <color indexed="64"/>
      </left>
      <right style="medium">
        <color rgb="FF002060"/>
      </right>
      <top/>
      <bottom style="thin">
        <color indexed="64"/>
      </bottom>
      <diagonal/>
    </border>
    <border>
      <left style="thin">
        <color indexed="64"/>
      </left>
      <right style="medium">
        <color rgb="FF00206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2060"/>
      </right>
      <top style="thin">
        <color indexed="64"/>
      </top>
      <bottom style="medium">
        <color rgb="FF00206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2060"/>
      </left>
      <right style="medium">
        <color rgb="FF002060"/>
      </right>
      <top/>
      <bottom style="medium">
        <color indexed="64"/>
      </bottom>
      <diagonal/>
    </border>
    <border>
      <left style="medium">
        <color rgb="FF002060"/>
      </left>
      <right style="medium">
        <color rgb="FF002060"/>
      </right>
      <top/>
      <bottom style="thin">
        <color indexed="64"/>
      </bottom>
      <diagonal/>
    </border>
    <border>
      <left style="medium">
        <color rgb="FF002060"/>
      </left>
      <right style="medium">
        <color rgb="FF00206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2060"/>
      </left>
      <right/>
      <top style="medium">
        <color indexed="64"/>
      </top>
      <bottom style="medium">
        <color indexed="64"/>
      </bottom>
      <diagonal/>
    </border>
    <border>
      <left style="medium">
        <color rgb="FF002060"/>
      </left>
      <right/>
      <top/>
      <bottom style="thin">
        <color indexed="64"/>
      </bottom>
      <diagonal/>
    </border>
    <border>
      <left style="medium">
        <color rgb="FF002060"/>
      </left>
      <right/>
      <top style="thin">
        <color indexed="64"/>
      </top>
      <bottom style="thin">
        <color indexed="64"/>
      </bottom>
      <diagonal/>
    </border>
    <border>
      <left style="medium">
        <color rgb="FF002060"/>
      </left>
      <right style="medium">
        <color indexed="64"/>
      </right>
      <top/>
      <bottom style="medium">
        <color indexed="64"/>
      </bottom>
      <diagonal/>
    </border>
    <border>
      <left style="medium">
        <color rgb="FF002060"/>
      </left>
      <right style="medium">
        <color indexed="64"/>
      </right>
      <top/>
      <bottom style="thin">
        <color indexed="64"/>
      </bottom>
      <diagonal/>
    </border>
    <border>
      <left style="medium">
        <color rgb="FF00206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rgb="FF00206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2060"/>
      </right>
      <top style="medium">
        <color indexed="64"/>
      </top>
      <bottom/>
      <diagonal/>
    </border>
    <border>
      <left/>
      <right style="medium">
        <color rgb="FF002060"/>
      </right>
      <top style="medium">
        <color indexed="64"/>
      </top>
      <bottom style="medium">
        <color indexed="64"/>
      </bottom>
      <diagonal/>
    </border>
    <border>
      <left style="medium">
        <color rgb="FF002060"/>
      </left>
      <right style="medium">
        <color rgb="FF002060"/>
      </right>
      <top style="medium">
        <color indexed="64"/>
      </top>
      <bottom/>
      <diagonal/>
    </border>
    <border>
      <left style="medium">
        <color rgb="FF00206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rgb="FF002060"/>
      </right>
      <top style="thin">
        <color indexed="64"/>
      </top>
      <bottom style="medium">
        <color indexed="64"/>
      </bottom>
      <diagonal/>
    </border>
    <border>
      <left/>
      <right style="thin">
        <color rgb="FF002060"/>
      </right>
      <top/>
      <bottom style="medium">
        <color indexed="64"/>
      </bottom>
      <diagonal/>
    </border>
    <border>
      <left style="thin">
        <color rgb="FF002060"/>
      </left>
      <right/>
      <top style="thin">
        <color rgb="FF002060"/>
      </top>
      <bottom style="medium">
        <color indexed="64"/>
      </bottom>
      <diagonal/>
    </border>
    <border>
      <left style="medium">
        <color rgb="FF002060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2060"/>
      </left>
      <right style="medium">
        <color rgb="FF002060"/>
      </right>
      <top style="thin">
        <color indexed="64"/>
      </top>
      <bottom style="medium">
        <color indexed="64"/>
      </bottom>
      <diagonal/>
    </border>
    <border>
      <left style="medium">
        <color rgb="FF00206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5" fillId="0" borderId="0" applyFont="0" applyFill="0" applyBorder="0" applyAlignment="0" applyProtection="0"/>
  </cellStyleXfs>
  <cellXfs count="217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1" fillId="0" borderId="0" xfId="0" applyFont="1" applyAlignment="1">
      <alignment textRotation="255"/>
    </xf>
    <xf numFmtId="0" fontId="1" fillId="0" borderId="6" xfId="0" applyFont="1" applyBorder="1"/>
    <xf numFmtId="49" fontId="1" fillId="0" borderId="0" xfId="0" applyNumberFormat="1" applyFont="1" applyBorder="1"/>
    <xf numFmtId="0" fontId="1" fillId="0" borderId="0" xfId="0" applyFont="1" applyBorder="1"/>
    <xf numFmtId="49" fontId="1" fillId="0" borderId="8" xfId="0" applyNumberFormat="1" applyFont="1" applyBorder="1"/>
    <xf numFmtId="0" fontId="1" fillId="0" borderId="8" xfId="0" applyFont="1" applyBorder="1"/>
    <xf numFmtId="0" fontId="1" fillId="0" borderId="5" xfId="0" applyFont="1" applyBorder="1"/>
    <xf numFmtId="0" fontId="2" fillId="2" borderId="1" xfId="0" applyFont="1" applyFill="1" applyBorder="1" applyAlignment="1">
      <alignment vertical="center" wrapText="1"/>
    </xf>
    <xf numFmtId="0" fontId="1" fillId="0" borderId="0" xfId="0" quotePrefix="1" applyFont="1" applyAlignment="1">
      <alignment textRotation="255"/>
    </xf>
    <xf numFmtId="0" fontId="1" fillId="0" borderId="2" xfId="0" applyFont="1" applyBorder="1"/>
    <xf numFmtId="49" fontId="1" fillId="0" borderId="7" xfId="0" applyNumberFormat="1" applyFont="1" applyBorder="1"/>
    <xf numFmtId="0" fontId="5" fillId="0" borderId="0" xfId="0" applyFont="1" applyBorder="1" applyAlignment="1">
      <alignment horizontal="center"/>
    </xf>
    <xf numFmtId="0" fontId="3" fillId="0" borderId="6" xfId="0" applyFont="1" applyBorder="1"/>
    <xf numFmtId="0" fontId="4" fillId="0" borderId="6" xfId="0" applyFont="1" applyBorder="1"/>
    <xf numFmtId="0" fontId="3" fillId="0" borderId="4" xfId="0" applyFont="1" applyBorder="1"/>
    <xf numFmtId="0" fontId="7" fillId="0" borderId="6" xfId="0" applyFont="1" applyBorder="1"/>
    <xf numFmtId="49" fontId="12" fillId="0" borderId="0" xfId="0" applyNumberFormat="1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49" fontId="10" fillId="0" borderId="7" xfId="0" applyNumberFormat="1" applyFont="1" applyBorder="1"/>
    <xf numFmtId="0" fontId="10" fillId="0" borderId="7" xfId="0" applyFont="1" applyBorder="1"/>
    <xf numFmtId="0" fontId="13" fillId="0" borderId="7" xfId="0" applyFont="1" applyBorder="1"/>
    <xf numFmtId="0" fontId="10" fillId="0" borderId="3" xfId="0" applyFont="1" applyBorder="1"/>
    <xf numFmtId="49" fontId="10" fillId="0" borderId="0" xfId="0" applyNumberFormat="1" applyFont="1" applyBorder="1"/>
    <xf numFmtId="0" fontId="10" fillId="0" borderId="0" xfId="0" applyFont="1" applyBorder="1"/>
    <xf numFmtId="0" fontId="13" fillId="0" borderId="0" xfId="0" applyFont="1" applyBorder="1"/>
    <xf numFmtId="0" fontId="14" fillId="0" borderId="2" xfId="0" applyFont="1" applyBorder="1"/>
    <xf numFmtId="0" fontId="10" fillId="0" borderId="0" xfId="0" applyFont="1" applyAlignment="1">
      <alignment textRotation="255"/>
    </xf>
    <xf numFmtId="0" fontId="10" fillId="0" borderId="6" xfId="0" applyFont="1" applyBorder="1"/>
    <xf numFmtId="0" fontId="9" fillId="0" borderId="0" xfId="0" applyFont="1" applyBorder="1" applyAlignment="1">
      <alignment horizontal="left"/>
    </xf>
    <xf numFmtId="0" fontId="9" fillId="0" borderId="0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10" fillId="0" borderId="0" xfId="0" applyFont="1"/>
    <xf numFmtId="0" fontId="1" fillId="3" borderId="0" xfId="0" quotePrefix="1" applyFont="1" applyFill="1" applyAlignment="1">
      <alignment textRotation="255"/>
    </xf>
    <xf numFmtId="0" fontId="1" fillId="3" borderId="0" xfId="0" applyFont="1" applyFill="1"/>
    <xf numFmtId="0" fontId="14" fillId="0" borderId="6" xfId="0" applyFont="1" applyBorder="1"/>
    <xf numFmtId="49" fontId="11" fillId="0" borderId="23" xfId="0" applyNumberFormat="1" applyFont="1" applyBorder="1" applyAlignment="1">
      <alignment vertical="center"/>
    </xf>
    <xf numFmtId="0" fontId="12" fillId="0" borderId="26" xfId="0" applyFont="1" applyBorder="1" applyAlignment="1">
      <alignment vertical="center"/>
    </xf>
    <xf numFmtId="0" fontId="13" fillId="0" borderId="27" xfId="0" applyFont="1" applyBorder="1" applyAlignment="1">
      <alignment vertical="center"/>
    </xf>
    <xf numFmtId="0" fontId="13" fillId="3" borderId="28" xfId="0" applyFont="1" applyFill="1" applyBorder="1" applyAlignment="1">
      <alignment vertical="center"/>
    </xf>
    <xf numFmtId="0" fontId="13" fillId="0" borderId="28" xfId="0" applyFont="1" applyBorder="1" applyAlignment="1">
      <alignment vertical="center"/>
    </xf>
    <xf numFmtId="0" fontId="13" fillId="0" borderId="30" xfId="0" applyFont="1" applyBorder="1" applyAlignment="1">
      <alignment vertical="center"/>
    </xf>
    <xf numFmtId="0" fontId="13" fillId="3" borderId="31" xfId="0" applyFont="1" applyFill="1" applyBorder="1" applyAlignment="1">
      <alignment vertical="center"/>
    </xf>
    <xf numFmtId="0" fontId="13" fillId="0" borderId="31" xfId="0" applyFont="1" applyBorder="1" applyAlignment="1">
      <alignment vertical="center"/>
    </xf>
    <xf numFmtId="0" fontId="2" fillId="0" borderId="0" xfId="0" applyFont="1" applyBorder="1"/>
    <xf numFmtId="0" fontId="2" fillId="0" borderId="8" xfId="0" applyFont="1" applyBorder="1"/>
    <xf numFmtId="49" fontId="12" fillId="0" borderId="26" xfId="0" applyNumberFormat="1" applyFont="1" applyBorder="1" applyAlignment="1">
      <alignment vertical="center"/>
    </xf>
    <xf numFmtId="49" fontId="11" fillId="0" borderId="33" xfId="0" applyNumberFormat="1" applyFont="1" applyBorder="1" applyAlignment="1">
      <alignment vertical="center"/>
    </xf>
    <xf numFmtId="49" fontId="11" fillId="3" borderId="35" xfId="0" applyNumberFormat="1" applyFont="1" applyFill="1" applyBorder="1" applyAlignment="1">
      <alignment vertical="center"/>
    </xf>
    <xf numFmtId="49" fontId="11" fillId="0" borderId="35" xfId="0" applyNumberFormat="1" applyFont="1" applyBorder="1" applyAlignment="1">
      <alignment vertical="center"/>
    </xf>
    <xf numFmtId="14" fontId="1" fillId="0" borderId="37" xfId="0" applyNumberFormat="1" applyFont="1" applyBorder="1" applyAlignment="1">
      <alignment vertical="center"/>
    </xf>
    <xf numFmtId="0" fontId="1" fillId="3" borderId="38" xfId="0" applyFont="1" applyFill="1" applyBorder="1" applyAlignment="1">
      <alignment vertical="center"/>
    </xf>
    <xf numFmtId="0" fontId="1" fillId="0" borderId="38" xfId="0" applyFont="1" applyBorder="1" applyAlignment="1">
      <alignment vertical="center"/>
    </xf>
    <xf numFmtId="0" fontId="1" fillId="0" borderId="39" xfId="0" applyFont="1" applyBorder="1" applyAlignment="1">
      <alignment vertical="center"/>
    </xf>
    <xf numFmtId="0" fontId="2" fillId="2" borderId="40" xfId="0" applyFont="1" applyFill="1" applyBorder="1" applyAlignment="1">
      <alignment horizontal="center" vertical="center" wrapText="1"/>
    </xf>
    <xf numFmtId="14" fontId="1" fillId="0" borderId="27" xfId="0" applyNumberFormat="1" applyFont="1" applyBorder="1" applyAlignment="1">
      <alignment vertical="center"/>
    </xf>
    <xf numFmtId="0" fontId="1" fillId="3" borderId="28" xfId="0" applyFont="1" applyFill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13" fillId="0" borderId="37" xfId="0" applyFont="1" applyBorder="1" applyAlignment="1">
      <alignment vertical="center"/>
    </xf>
    <xf numFmtId="0" fontId="13" fillId="3" borderId="38" xfId="0" applyFont="1" applyFill="1" applyBorder="1" applyAlignment="1">
      <alignment vertical="center"/>
    </xf>
    <xf numFmtId="0" fontId="13" fillId="0" borderId="38" xfId="0" applyFont="1" applyBorder="1" applyAlignment="1">
      <alignment vertical="center"/>
    </xf>
    <xf numFmtId="0" fontId="1" fillId="0" borderId="37" xfId="0" applyFont="1" applyBorder="1" applyAlignment="1">
      <alignment vertical="center"/>
    </xf>
    <xf numFmtId="0" fontId="2" fillId="2" borderId="41" xfId="0" applyFont="1" applyFill="1" applyBorder="1" applyAlignment="1">
      <alignment vertical="center" wrapText="1"/>
    </xf>
    <xf numFmtId="14" fontId="1" fillId="0" borderId="42" xfId="0" applyNumberFormat="1" applyFont="1" applyBorder="1" applyAlignment="1">
      <alignment vertical="center"/>
    </xf>
    <xf numFmtId="0" fontId="1" fillId="3" borderId="43" xfId="0" applyFont="1" applyFill="1" applyBorder="1" applyAlignment="1">
      <alignment vertical="center"/>
    </xf>
    <xf numFmtId="0" fontId="1" fillId="0" borderId="43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9" fillId="0" borderId="32" xfId="0" applyFont="1" applyBorder="1" applyAlignment="1">
      <alignment vertical="center"/>
    </xf>
    <xf numFmtId="0" fontId="9" fillId="3" borderId="34" xfId="0" applyFont="1" applyFill="1" applyBorder="1" applyAlignment="1">
      <alignment vertical="center"/>
    </xf>
    <xf numFmtId="0" fontId="9" fillId="0" borderId="34" xfId="0" applyFont="1" applyBorder="1" applyAlignment="1">
      <alignment vertical="center"/>
    </xf>
    <xf numFmtId="0" fontId="1" fillId="0" borderId="2" xfId="0" applyFont="1" applyBorder="1" applyAlignment="1">
      <alignment textRotation="255"/>
    </xf>
    <xf numFmtId="0" fontId="1" fillId="0" borderId="6" xfId="0" applyFont="1" applyBorder="1" applyAlignment="1">
      <alignment textRotation="255"/>
    </xf>
    <xf numFmtId="0" fontId="10" fillId="0" borderId="6" xfId="0" applyFont="1" applyBorder="1" applyAlignment="1">
      <alignment textRotation="255"/>
    </xf>
    <xf numFmtId="0" fontId="1" fillId="0" borderId="10" xfId="0" applyFont="1" applyBorder="1"/>
    <xf numFmtId="0" fontId="1" fillId="0" borderId="6" xfId="0" quotePrefix="1" applyFont="1" applyBorder="1" applyAlignment="1">
      <alignment textRotation="255"/>
    </xf>
    <xf numFmtId="0" fontId="1" fillId="3" borderId="6" xfId="0" quotePrefix="1" applyFont="1" applyFill="1" applyBorder="1" applyAlignment="1">
      <alignment textRotation="255"/>
    </xf>
    <xf numFmtId="0" fontId="1" fillId="0" borderId="45" xfId="0" applyFont="1" applyBorder="1" applyAlignment="1">
      <alignment vertical="center"/>
    </xf>
    <xf numFmtId="0" fontId="1" fillId="3" borderId="46" xfId="0" applyFont="1" applyFill="1" applyBorder="1" applyAlignment="1">
      <alignment vertical="center"/>
    </xf>
    <xf numFmtId="0" fontId="1" fillId="0" borderId="46" xfId="0" applyFont="1" applyBorder="1" applyAlignment="1">
      <alignment vertical="center"/>
    </xf>
    <xf numFmtId="0" fontId="9" fillId="0" borderId="47" xfId="0" applyFont="1" applyBorder="1" applyAlignment="1">
      <alignment vertical="center"/>
    </xf>
    <xf numFmtId="0" fontId="9" fillId="0" borderId="32" xfId="0" applyFont="1" applyBorder="1" applyAlignment="1" applyProtection="1">
      <alignment vertical="center"/>
    </xf>
    <xf numFmtId="49" fontId="11" fillId="0" borderId="21" xfId="0" applyNumberFormat="1" applyFont="1" applyBorder="1" applyAlignment="1" applyProtection="1">
      <alignment vertical="center"/>
    </xf>
    <xf numFmtId="0" fontId="9" fillId="3" borderId="34" xfId="0" applyFont="1" applyFill="1" applyBorder="1" applyAlignment="1" applyProtection="1">
      <alignment vertical="center"/>
    </xf>
    <xf numFmtId="49" fontId="11" fillId="3" borderId="22" xfId="0" applyNumberFormat="1" applyFont="1" applyFill="1" applyBorder="1" applyAlignment="1" applyProtection="1">
      <alignment vertical="center"/>
    </xf>
    <xf numFmtId="0" fontId="9" fillId="0" borderId="34" xfId="0" applyFont="1" applyBorder="1" applyAlignment="1" applyProtection="1">
      <alignment vertical="center"/>
    </xf>
    <xf numFmtId="49" fontId="11" fillId="0" borderId="22" xfId="0" applyNumberFormat="1" applyFont="1" applyBorder="1" applyAlignment="1" applyProtection="1">
      <alignment vertical="center"/>
    </xf>
    <xf numFmtId="49" fontId="11" fillId="0" borderId="14" xfId="0" applyNumberFormat="1" applyFont="1" applyBorder="1" applyAlignment="1" applyProtection="1">
      <alignment horizontal="justify" vertical="center"/>
    </xf>
    <xf numFmtId="49" fontId="12" fillId="0" borderId="16" xfId="0" applyNumberFormat="1" applyFont="1" applyBorder="1" applyAlignment="1" applyProtection="1">
      <alignment vertical="center"/>
    </xf>
    <xf numFmtId="0" fontId="12" fillId="0" borderId="26" xfId="0" applyFont="1" applyBorder="1" applyAlignment="1" applyProtection="1">
      <alignment vertical="center"/>
    </xf>
    <xf numFmtId="49" fontId="12" fillId="0" borderId="19" xfId="0" applyNumberFormat="1" applyFont="1" applyBorder="1" applyAlignment="1" applyProtection="1">
      <alignment vertical="center"/>
    </xf>
    <xf numFmtId="0" fontId="12" fillId="0" borderId="15" xfId="0" applyFont="1" applyBorder="1" applyAlignment="1" applyProtection="1">
      <alignment vertical="center"/>
    </xf>
    <xf numFmtId="0" fontId="12" fillId="0" borderId="0" xfId="0" applyFont="1" applyBorder="1" applyAlignment="1" applyProtection="1">
      <alignment vertical="center" wrapText="1"/>
    </xf>
    <xf numFmtId="0" fontId="5" fillId="0" borderId="0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8" fillId="0" borderId="48" xfId="0" applyFont="1" applyBorder="1" applyAlignment="1">
      <alignment horizontal="right"/>
    </xf>
    <xf numFmtId="0" fontId="9" fillId="0" borderId="48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9" fillId="0" borderId="0" xfId="0" applyFont="1" applyFill="1" applyBorder="1" applyAlignment="1">
      <alignment horizontal="center"/>
    </xf>
    <xf numFmtId="0" fontId="1" fillId="0" borderId="0" xfId="0" applyFont="1" applyFill="1" applyBorder="1"/>
    <xf numFmtId="0" fontId="8" fillId="0" borderId="11" xfId="0" applyFont="1" applyFill="1" applyBorder="1" applyAlignment="1">
      <alignment horizontal="right"/>
    </xf>
    <xf numFmtId="0" fontId="2" fillId="0" borderId="48" xfId="0" applyFont="1" applyFill="1" applyBorder="1" applyAlignment="1">
      <alignment horizontal="left"/>
    </xf>
    <xf numFmtId="0" fontId="8" fillId="0" borderId="48" xfId="0" applyFont="1" applyFill="1" applyBorder="1" applyAlignment="1">
      <alignment horizontal="right"/>
    </xf>
    <xf numFmtId="0" fontId="8" fillId="0" borderId="11" xfId="0" applyFont="1" applyBorder="1" applyAlignment="1">
      <alignment horizontal="right"/>
    </xf>
    <xf numFmtId="0" fontId="2" fillId="0" borderId="48" xfId="0" applyFont="1" applyBorder="1" applyAlignment="1">
      <alignment horizontal="left"/>
    </xf>
    <xf numFmtId="49" fontId="12" fillId="0" borderId="14" xfId="0" applyNumberFormat="1" applyFont="1" applyBorder="1" applyAlignment="1">
      <alignment horizontal="justify" vertical="center"/>
    </xf>
    <xf numFmtId="49" fontId="12" fillId="0" borderId="13" xfId="0" applyNumberFormat="1" applyFont="1" applyBorder="1" applyAlignment="1">
      <alignment horizontal="justify" vertical="center"/>
    </xf>
    <xf numFmtId="0" fontId="5" fillId="0" borderId="0" xfId="0" applyFont="1" applyBorder="1" applyAlignment="1">
      <alignment horizontal="left"/>
    </xf>
    <xf numFmtId="49" fontId="12" fillId="0" borderId="14" xfId="0" applyNumberFormat="1" applyFont="1" applyBorder="1" applyAlignment="1">
      <alignment horizontal="justify" vertical="center"/>
    </xf>
    <xf numFmtId="49" fontId="12" fillId="0" borderId="13" xfId="0" applyNumberFormat="1" applyFont="1" applyBorder="1" applyAlignment="1">
      <alignment horizontal="justify" vertical="center"/>
    </xf>
    <xf numFmtId="0" fontId="5" fillId="0" borderId="0" xfId="0" applyFont="1" applyBorder="1" applyAlignment="1">
      <alignment horizontal="center"/>
    </xf>
    <xf numFmtId="49" fontId="12" fillId="3" borderId="17" xfId="0" applyNumberFormat="1" applyFont="1" applyFill="1" applyBorder="1" applyAlignment="1" applyProtection="1">
      <alignment horizontal="justify" vertical="center"/>
    </xf>
    <xf numFmtId="49" fontId="12" fillId="3" borderId="13" xfId="0" applyNumberFormat="1" applyFont="1" applyFill="1" applyBorder="1" applyAlignment="1" applyProtection="1">
      <alignment horizontal="justify" vertical="center"/>
    </xf>
    <xf numFmtId="49" fontId="12" fillId="0" borderId="14" xfId="0" applyNumberFormat="1" applyFont="1" applyBorder="1" applyAlignment="1" applyProtection="1">
      <alignment horizontal="justify" vertical="center"/>
    </xf>
    <xf numFmtId="49" fontId="12" fillId="0" borderId="13" xfId="0" applyNumberFormat="1" applyFont="1" applyBorder="1" applyAlignment="1" applyProtection="1">
      <alignment horizontal="justify" vertical="center"/>
    </xf>
    <xf numFmtId="0" fontId="9" fillId="0" borderId="6" xfId="0" applyFont="1" applyBorder="1" applyAlignment="1">
      <alignment vertical="center"/>
    </xf>
    <xf numFmtId="49" fontId="11" fillId="0" borderId="0" xfId="0" applyNumberFormat="1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9" fillId="0" borderId="36" xfId="0" applyFont="1" applyBorder="1" applyAlignment="1" applyProtection="1">
      <alignment vertical="center"/>
    </xf>
    <xf numFmtId="49" fontId="11" fillId="0" borderId="55" xfId="0" applyNumberFormat="1" applyFont="1" applyBorder="1" applyAlignment="1" applyProtection="1">
      <alignment vertical="center"/>
    </xf>
    <xf numFmtId="49" fontId="12" fillId="0" borderId="56" xfId="0" applyNumberFormat="1" applyFont="1" applyBorder="1" applyAlignment="1" applyProtection="1">
      <alignment vertical="center"/>
    </xf>
    <xf numFmtId="0" fontId="12" fillId="0" borderId="57" xfId="0" applyFont="1" applyBorder="1" applyAlignment="1" applyProtection="1">
      <alignment vertical="center"/>
    </xf>
    <xf numFmtId="0" fontId="1" fillId="0" borderId="58" xfId="0" applyFont="1" applyBorder="1" applyAlignment="1">
      <alignment vertical="center"/>
    </xf>
    <xf numFmtId="0" fontId="13" fillId="0" borderId="59" xfId="0" applyFont="1" applyBorder="1" applyAlignment="1">
      <alignment vertical="center"/>
    </xf>
    <xf numFmtId="0" fontId="13" fillId="0" borderId="60" xfId="0" applyFont="1" applyBorder="1" applyAlignment="1">
      <alignment vertical="center"/>
    </xf>
    <xf numFmtId="0" fontId="1" fillId="0" borderId="61" xfId="0" applyFont="1" applyBorder="1" applyAlignment="1">
      <alignment vertical="center"/>
    </xf>
    <xf numFmtId="2" fontId="1" fillId="0" borderId="0" xfId="0" applyNumberFormat="1" applyFont="1" applyBorder="1"/>
    <xf numFmtId="0" fontId="1" fillId="0" borderId="1" xfId="0" applyFont="1" applyBorder="1"/>
    <xf numFmtId="49" fontId="12" fillId="0" borderId="0" xfId="0" applyNumberFormat="1" applyFont="1" applyBorder="1" applyAlignment="1">
      <alignment horizontal="justify" vertical="center"/>
    </xf>
    <xf numFmtId="0" fontId="2" fillId="0" borderId="0" xfId="0" applyFont="1"/>
    <xf numFmtId="9" fontId="2" fillId="0" borderId="0" xfId="1" applyFont="1"/>
    <xf numFmtId="0" fontId="1" fillId="3" borderId="0" xfId="0" applyFont="1" applyFill="1" applyBorder="1"/>
    <xf numFmtId="1" fontId="1" fillId="3" borderId="0" xfId="0" quotePrefix="1" applyNumberFormat="1" applyFont="1" applyFill="1" applyAlignment="1">
      <alignment textRotation="255"/>
    </xf>
    <xf numFmtId="0" fontId="16" fillId="0" borderId="0" xfId="0" applyFont="1"/>
    <xf numFmtId="0" fontId="17" fillId="0" borderId="0" xfId="0" applyFont="1"/>
    <xf numFmtId="0" fontId="20" fillId="0" borderId="65" xfId="0" applyFont="1" applyBorder="1"/>
    <xf numFmtId="0" fontId="21" fillId="0" borderId="65" xfId="0" applyFont="1" applyBorder="1"/>
    <xf numFmtId="0" fontId="2" fillId="0" borderId="65" xfId="0" applyFont="1" applyBorder="1"/>
    <xf numFmtId="0" fontId="19" fillId="0" borderId="65" xfId="0" applyFont="1" applyBorder="1"/>
    <xf numFmtId="0" fontId="0" fillId="0" borderId="0" xfId="0" applyBorder="1"/>
    <xf numFmtId="0" fontId="16" fillId="0" borderId="0" xfId="0" applyFont="1" applyBorder="1"/>
    <xf numFmtId="0" fontId="17" fillId="0" borderId="0" xfId="0" applyFont="1" applyBorder="1"/>
    <xf numFmtId="0" fontId="17" fillId="3" borderId="0" xfId="0" applyFont="1" applyFill="1" applyBorder="1"/>
    <xf numFmtId="0" fontId="18" fillId="0" borderId="0" xfId="0" applyFont="1" applyBorder="1"/>
    <xf numFmtId="0" fontId="19" fillId="0" borderId="0" xfId="0" applyFont="1" applyBorder="1"/>
    <xf numFmtId="0" fontId="2" fillId="0" borderId="0" xfId="0" applyFont="1" applyFill="1" applyBorder="1" applyAlignment="1">
      <alignment horizontal="left"/>
    </xf>
    <xf numFmtId="9" fontId="1" fillId="0" borderId="0" xfId="1" applyFont="1" applyFill="1" applyBorder="1"/>
    <xf numFmtId="9" fontId="1" fillId="5" borderId="0" xfId="1" applyFont="1" applyFill="1" applyBorder="1"/>
    <xf numFmtId="0" fontId="22" fillId="0" borderId="12" xfId="0" applyFont="1" applyFill="1" applyBorder="1" applyAlignment="1">
      <alignment horizontal="right"/>
    </xf>
    <xf numFmtId="49" fontId="1" fillId="0" borderId="0" xfId="0" applyNumberFormat="1" applyFont="1" applyBorder="1" applyAlignment="1">
      <alignment horizontal="left"/>
    </xf>
    <xf numFmtId="2" fontId="1" fillId="0" borderId="0" xfId="0" applyNumberFormat="1" applyFont="1" applyBorder="1" applyAlignment="1">
      <alignment horizontal="left"/>
    </xf>
    <xf numFmtId="49" fontId="1" fillId="0" borderId="8" xfId="0" applyNumberFormat="1" applyFont="1" applyBorder="1" applyAlignment="1">
      <alignment horizontal="left"/>
    </xf>
    <xf numFmtId="0" fontId="3" fillId="0" borderId="0" xfId="0" applyFont="1" applyBorder="1"/>
    <xf numFmtId="0" fontId="23" fillId="0" borderId="38" xfId="0" applyFont="1" applyBorder="1" applyAlignment="1">
      <alignment vertical="center"/>
    </xf>
    <xf numFmtId="0" fontId="23" fillId="0" borderId="45" xfId="0" applyFont="1" applyBorder="1" applyAlignment="1">
      <alignment vertical="center"/>
    </xf>
    <xf numFmtId="1" fontId="1" fillId="0" borderId="0" xfId="0" applyNumberFormat="1" applyFont="1"/>
    <xf numFmtId="9" fontId="2" fillId="4" borderId="0" xfId="1" applyFont="1" applyFill="1"/>
    <xf numFmtId="14" fontId="9" fillId="0" borderId="0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49" fontId="12" fillId="3" borderId="14" xfId="0" applyNumberFormat="1" applyFont="1" applyFill="1" applyBorder="1" applyAlignment="1">
      <alignment horizontal="justify" vertical="center"/>
    </xf>
    <xf numFmtId="49" fontId="12" fillId="3" borderId="13" xfId="0" applyNumberFormat="1" applyFont="1" applyFill="1" applyBorder="1" applyAlignment="1">
      <alignment horizontal="justify" vertical="center"/>
    </xf>
    <xf numFmtId="49" fontId="12" fillId="0" borderId="14" xfId="0" applyNumberFormat="1" applyFont="1" applyBorder="1" applyAlignment="1">
      <alignment horizontal="justify" vertical="center"/>
    </xf>
    <xf numFmtId="49" fontId="12" fillId="0" borderId="13" xfId="0" applyNumberFormat="1" applyFont="1" applyBorder="1" applyAlignment="1">
      <alignment horizontal="justify" vertical="center"/>
    </xf>
    <xf numFmtId="49" fontId="12" fillId="3" borderId="49" xfId="0" applyNumberFormat="1" applyFont="1" applyFill="1" applyBorder="1" applyAlignment="1">
      <alignment horizontal="justify" vertical="center"/>
    </xf>
    <xf numFmtId="49" fontId="12" fillId="3" borderId="50" xfId="0" applyNumberFormat="1" applyFont="1" applyFill="1" applyBorder="1" applyAlignment="1">
      <alignment horizontal="justify" vertical="center"/>
    </xf>
    <xf numFmtId="49" fontId="12" fillId="0" borderId="17" xfId="0" applyNumberFormat="1" applyFont="1" applyBorder="1" applyAlignment="1">
      <alignment horizontal="justify" vertical="center"/>
    </xf>
    <xf numFmtId="49" fontId="12" fillId="0" borderId="24" xfId="0" applyNumberFormat="1" applyFont="1" applyBorder="1" applyAlignment="1">
      <alignment horizontal="justify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49" fontId="12" fillId="0" borderId="49" xfId="0" applyNumberFormat="1" applyFont="1" applyBorder="1" applyAlignment="1">
      <alignment horizontal="justify" vertical="center"/>
    </xf>
    <xf numFmtId="49" fontId="12" fillId="0" borderId="50" xfId="0" applyNumberFormat="1" applyFont="1" applyBorder="1" applyAlignment="1">
      <alignment horizontal="justify" vertical="center"/>
    </xf>
    <xf numFmtId="49" fontId="12" fillId="0" borderId="62" xfId="0" applyNumberFormat="1" applyFont="1" applyBorder="1" applyAlignment="1">
      <alignment horizontal="justify" vertical="center"/>
    </xf>
    <xf numFmtId="49" fontId="12" fillId="0" borderId="63" xfId="0" applyNumberFormat="1" applyFont="1" applyBorder="1" applyAlignment="1">
      <alignment horizontal="justify" vertical="center"/>
    </xf>
    <xf numFmtId="0" fontId="2" fillId="2" borderId="64" xfId="0" applyFont="1" applyFill="1" applyBorder="1" applyAlignment="1">
      <alignment horizontal="center" vertical="center"/>
    </xf>
    <xf numFmtId="49" fontId="12" fillId="0" borderId="14" xfId="0" applyNumberFormat="1" applyFont="1" applyBorder="1" applyAlignment="1" applyProtection="1">
      <alignment horizontal="justify" vertical="center"/>
    </xf>
    <xf numFmtId="49" fontId="12" fillId="0" borderId="13" xfId="0" applyNumberFormat="1" applyFont="1" applyBorder="1" applyAlignment="1" applyProtection="1">
      <alignment horizontal="justify" vertical="center"/>
    </xf>
    <xf numFmtId="0" fontId="2" fillId="0" borderId="0" xfId="0" applyFont="1" applyAlignment="1">
      <alignment horizontal="left"/>
    </xf>
    <xf numFmtId="0" fontId="2" fillId="4" borderId="0" xfId="0" applyFont="1" applyFill="1" applyAlignment="1">
      <alignment horizontal="left"/>
    </xf>
    <xf numFmtId="49" fontId="12" fillId="3" borderId="17" xfId="0" applyNumberFormat="1" applyFont="1" applyFill="1" applyBorder="1" applyAlignment="1" applyProtection="1">
      <alignment horizontal="justify" vertical="center"/>
    </xf>
    <xf numFmtId="49" fontId="12" fillId="3" borderId="13" xfId="0" applyNumberFormat="1" applyFont="1" applyFill="1" applyBorder="1" applyAlignment="1" applyProtection="1">
      <alignment horizontal="justify" vertical="center"/>
    </xf>
    <xf numFmtId="49" fontId="12" fillId="3" borderId="14" xfId="0" applyNumberFormat="1" applyFont="1" applyFill="1" applyBorder="1" applyAlignment="1" applyProtection="1">
      <alignment horizontal="justify" vertical="center"/>
    </xf>
    <xf numFmtId="49" fontId="12" fillId="3" borderId="18" xfId="0" applyNumberFormat="1" applyFont="1" applyFill="1" applyBorder="1" applyAlignment="1" applyProtection="1">
      <alignment horizontal="justify" vertical="center"/>
    </xf>
    <xf numFmtId="49" fontId="12" fillId="3" borderId="25" xfId="0" applyNumberFormat="1" applyFont="1" applyFill="1" applyBorder="1" applyAlignment="1" applyProtection="1">
      <alignment horizontal="justify" vertical="center"/>
    </xf>
    <xf numFmtId="0" fontId="2" fillId="2" borderId="51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41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/>
    </xf>
    <xf numFmtId="49" fontId="12" fillId="0" borderId="17" xfId="0" applyNumberFormat="1" applyFont="1" applyBorder="1" applyAlignment="1" applyProtection="1">
      <alignment horizontal="justify" vertical="center"/>
    </xf>
    <xf numFmtId="49" fontId="12" fillId="0" borderId="24" xfId="0" applyNumberFormat="1" applyFont="1" applyBorder="1" applyAlignment="1" applyProtection="1">
      <alignment horizontal="justify" vertical="center"/>
    </xf>
    <xf numFmtId="14" fontId="1" fillId="0" borderId="38" xfId="0" applyNumberFormat="1" applyFont="1" applyBorder="1" applyAlignment="1">
      <alignment vertical="center"/>
    </xf>
    <xf numFmtId="14" fontId="1" fillId="0" borderId="28" xfId="0" applyNumberFormat="1" applyFont="1" applyBorder="1" applyAlignment="1">
      <alignment vertical="center"/>
    </xf>
    <xf numFmtId="14" fontId="1" fillId="0" borderId="43" xfId="0" applyNumberFormat="1" applyFont="1" applyBorder="1" applyAlignment="1">
      <alignment vertical="center"/>
    </xf>
  </cellXfs>
  <cellStyles count="2">
    <cellStyle name="Normal" xfId="0" builtinId="0"/>
    <cellStyle name="Porcentaje" xfId="1" builtinId="5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</dxfs>
  <tableStyles count="1" defaultTableStyle="TableStyleMedium2" defaultPivotStyle="Estilo de tabla dinámica 1">
    <tableStyle name="Estilo de tabla dinámica 1" table="0" count="1" xr9:uid="{00000000-0011-0000-FFFF-FFFF00000000}">
      <tableStyleElement type="wholeTable" dxfId="0"/>
    </tableStyle>
  </tableStyles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100853</xdr:colOff>
      <xdr:row>0</xdr:row>
      <xdr:rowOff>11206</xdr:rowOff>
    </xdr:from>
    <xdr:to>
      <xdr:col>4</xdr:col>
      <xdr:colOff>593912</xdr:colOff>
      <xdr:row>2</xdr:row>
      <xdr:rowOff>268941</xdr:rowOff>
    </xdr:to>
    <xdr:pic>
      <xdr:nvPicPr>
        <xdr:cNvPr id="3" name="Imagen 2" descr="C:\Users\Usuario\Desktop\A AUDITORIAS\A AUDITORIAS\2018\LOGOS\Logo 1\3ANG_LOGO.png">
          <a:extLst>
            <a:ext uri="{FF2B5EF4-FFF2-40B4-BE49-F238E27FC236}">
              <a16:creationId xmlns:a16="http://schemas.microsoft.com/office/drawing/2014/main" id="{1D92FC25-5228-4266-8D48-2A8DD896EB7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706" y="11206"/>
          <a:ext cx="1243853" cy="84044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302558</xdr:colOff>
      <xdr:row>0</xdr:row>
      <xdr:rowOff>11206</xdr:rowOff>
    </xdr:from>
    <xdr:to>
      <xdr:col>4</xdr:col>
      <xdr:colOff>862852</xdr:colOff>
      <xdr:row>2</xdr:row>
      <xdr:rowOff>268941</xdr:rowOff>
    </xdr:to>
    <xdr:pic>
      <xdr:nvPicPr>
        <xdr:cNvPr id="5" name="Imagen 4" descr="C:\Users\Usuario\Desktop\A AUDITORIAS\A AUDITORIAS\2018\LOGOS\Logo 1\3ANG_LOGO.png">
          <a:extLst>
            <a:ext uri="{FF2B5EF4-FFF2-40B4-BE49-F238E27FC236}">
              <a16:creationId xmlns:a16="http://schemas.microsoft.com/office/drawing/2014/main" id="{1B1DE4B1-1D8F-481A-B850-7FD4AD500E2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3558" y="11206"/>
          <a:ext cx="1243853" cy="84044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246529</xdr:colOff>
      <xdr:row>0</xdr:row>
      <xdr:rowOff>67236</xdr:rowOff>
    </xdr:from>
    <xdr:to>
      <xdr:col>4</xdr:col>
      <xdr:colOff>762560</xdr:colOff>
      <xdr:row>3</xdr:row>
      <xdr:rowOff>24654</xdr:rowOff>
    </xdr:to>
    <xdr:pic>
      <xdr:nvPicPr>
        <xdr:cNvPr id="4" name="Imagen 3" descr="C:\Users\Usuario\Desktop\A AUDITORIAS\A AUDITORIAS\2018\LOGOS\Logo 1\3ANG_LOGO.png">
          <a:extLst>
            <a:ext uri="{FF2B5EF4-FFF2-40B4-BE49-F238E27FC236}">
              <a16:creationId xmlns:a16="http://schemas.microsoft.com/office/drawing/2014/main" id="{AF5E1637-46A3-4A98-980A-37B00A4663F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529" y="67236"/>
          <a:ext cx="1266825" cy="8763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7"/>
  <sheetViews>
    <sheetView view="pageBreakPreview" topLeftCell="B1" zoomScale="85" zoomScaleNormal="100" zoomScaleSheetLayoutView="85" workbookViewId="0">
      <selection activeCell="I7" sqref="I7"/>
    </sheetView>
  </sheetViews>
  <sheetFormatPr baseColWidth="10" defaultColWidth="11.42578125" defaultRowHeight="15" x14ac:dyDescent="0.25"/>
  <cols>
    <col min="1" max="1" width="2.7109375" style="3" customWidth="1"/>
    <col min="2" max="2" width="4.5703125" style="1" customWidth="1"/>
    <col min="3" max="3" width="7" style="2" customWidth="1"/>
    <col min="4" max="4" width="4.140625" style="2" customWidth="1"/>
    <col min="5" max="5" width="45.7109375" style="1" customWidth="1"/>
    <col min="6" max="6" width="14.5703125" style="1" customWidth="1"/>
    <col min="7" max="7" width="15.7109375" style="1" customWidth="1"/>
    <col min="8" max="8" width="13.42578125" style="1" customWidth="1"/>
    <col min="9" max="9" width="14.42578125" style="1" customWidth="1"/>
    <col min="10" max="10" width="49.140625" style="1" customWidth="1"/>
    <col min="12" max="16384" width="11.42578125" style="1"/>
  </cols>
  <sheetData>
    <row r="1" spans="1:17" ht="23.25" x14ac:dyDescent="0.35">
      <c r="B1" s="12"/>
      <c r="C1" s="13"/>
      <c r="D1" s="13"/>
      <c r="E1" s="182" t="s">
        <v>158</v>
      </c>
      <c r="F1" s="182"/>
      <c r="G1" s="182"/>
      <c r="H1" s="182"/>
      <c r="I1" s="182"/>
      <c r="J1" s="183"/>
    </row>
    <row r="2" spans="1:17" ht="23.25" x14ac:dyDescent="0.35">
      <c r="B2" s="4"/>
      <c r="C2" s="5"/>
      <c r="D2" s="5"/>
      <c r="E2" s="184" t="s">
        <v>32</v>
      </c>
      <c r="F2" s="184"/>
      <c r="G2" s="184"/>
      <c r="H2" s="184"/>
      <c r="I2" s="184"/>
      <c r="J2" s="185"/>
    </row>
    <row r="3" spans="1:17" ht="26.25" x14ac:dyDescent="0.4">
      <c r="B3" s="4"/>
      <c r="C3" s="5"/>
      <c r="D3" s="5"/>
      <c r="E3" s="186" t="s">
        <v>34</v>
      </c>
      <c r="F3" s="186"/>
      <c r="G3" s="186"/>
      <c r="H3" s="186"/>
      <c r="I3" s="186"/>
      <c r="J3" s="187"/>
    </row>
    <row r="4" spans="1:17" s="34" customFormat="1" ht="17.25" x14ac:dyDescent="0.3">
      <c r="A4" s="29"/>
      <c r="B4" s="30"/>
      <c r="C4" s="25"/>
      <c r="D4" s="25"/>
      <c r="E4" s="31" t="s">
        <v>35</v>
      </c>
      <c r="F4" s="31" t="s">
        <v>167</v>
      </c>
      <c r="G4" s="32"/>
      <c r="H4" s="32"/>
      <c r="I4" s="32"/>
      <c r="J4" s="33"/>
    </row>
    <row r="5" spans="1:17" s="34" customFormat="1" ht="18" thickBot="1" x14ac:dyDescent="0.35">
      <c r="A5" s="29"/>
      <c r="B5" s="30"/>
      <c r="C5" s="25"/>
      <c r="D5" s="25"/>
      <c r="E5" s="31" t="s">
        <v>36</v>
      </c>
      <c r="F5" s="31" t="s">
        <v>163</v>
      </c>
      <c r="G5" s="32"/>
      <c r="H5" s="32"/>
      <c r="I5" s="32"/>
      <c r="J5" s="99"/>
    </row>
    <row r="6" spans="1:17" s="34" customFormat="1" ht="17.25" x14ac:dyDescent="0.3">
      <c r="A6" s="29"/>
      <c r="B6" s="30"/>
      <c r="C6" s="25"/>
      <c r="D6" s="25"/>
      <c r="E6" s="31" t="s">
        <v>37</v>
      </c>
      <c r="F6" s="31" t="s">
        <v>159</v>
      </c>
      <c r="G6" s="32"/>
      <c r="H6" s="32" t="s">
        <v>38</v>
      </c>
      <c r="I6" s="160">
        <v>45198</v>
      </c>
      <c r="J6" s="101" t="s">
        <v>43</v>
      </c>
    </row>
    <row r="7" spans="1:17" s="34" customFormat="1" ht="17.25" x14ac:dyDescent="0.3">
      <c r="A7" s="29"/>
      <c r="B7" s="30"/>
      <c r="C7" s="25"/>
      <c r="D7" s="25"/>
      <c r="E7" s="31" t="s">
        <v>105</v>
      </c>
      <c r="F7" s="31" t="s">
        <v>164</v>
      </c>
      <c r="G7" s="32"/>
      <c r="H7" s="32" t="s">
        <v>38</v>
      </c>
      <c r="I7" s="160">
        <f>+I6+3</f>
        <v>45201</v>
      </c>
      <c r="J7" s="102" t="s">
        <v>160</v>
      </c>
    </row>
    <row r="8" spans="1:17" ht="16.5" customHeight="1" x14ac:dyDescent="0.4">
      <c r="B8" s="18" t="s">
        <v>33</v>
      </c>
      <c r="C8" s="5"/>
      <c r="D8" s="5"/>
      <c r="E8" s="14"/>
      <c r="F8" s="14"/>
      <c r="G8" s="14"/>
      <c r="H8" s="14"/>
      <c r="I8" s="94"/>
      <c r="J8" s="103"/>
    </row>
    <row r="9" spans="1:17" ht="16.5" thickBot="1" x14ac:dyDescent="0.3">
      <c r="B9" s="15" t="s">
        <v>28</v>
      </c>
      <c r="C9" s="152" t="s">
        <v>139</v>
      </c>
      <c r="D9" s="46" t="s">
        <v>39</v>
      </c>
      <c r="E9" s="6"/>
      <c r="F9" s="6"/>
      <c r="G9" s="6"/>
      <c r="H9" s="6"/>
      <c r="I9" s="6"/>
      <c r="J9" s="151" t="s">
        <v>165</v>
      </c>
    </row>
    <row r="10" spans="1:17" ht="15.75" x14ac:dyDescent="0.25">
      <c r="B10" s="16" t="s">
        <v>29</v>
      </c>
      <c r="C10" s="153">
        <v>1</v>
      </c>
      <c r="D10" s="46" t="s">
        <v>40</v>
      </c>
      <c r="E10" s="6"/>
      <c r="F10" s="155" t="s">
        <v>156</v>
      </c>
      <c r="G10" s="6"/>
      <c r="H10" s="6"/>
      <c r="I10" s="6"/>
      <c r="J10" s="100"/>
    </row>
    <row r="11" spans="1:17" ht="16.5" thickBot="1" x14ac:dyDescent="0.3">
      <c r="B11" s="17" t="s">
        <v>30</v>
      </c>
      <c r="C11" s="154" t="s">
        <v>139</v>
      </c>
      <c r="D11" s="47" t="s">
        <v>41</v>
      </c>
      <c r="E11" s="8"/>
      <c r="F11" s="47" t="s">
        <v>155</v>
      </c>
      <c r="G11" s="8"/>
      <c r="H11" s="8"/>
      <c r="I11" s="8"/>
      <c r="J11" s="9"/>
    </row>
    <row r="12" spans="1:17" ht="16.5" thickBot="1" x14ac:dyDescent="0.3">
      <c r="B12" s="4"/>
      <c r="C12" s="5"/>
      <c r="D12" s="5"/>
      <c r="E12" s="6"/>
      <c r="F12" s="6"/>
      <c r="G12" s="6"/>
      <c r="H12" s="6"/>
      <c r="I12" s="6"/>
      <c r="J12" s="75"/>
    </row>
    <row r="13" spans="1:17" ht="16.5" thickBot="1" x14ac:dyDescent="0.3">
      <c r="B13" s="176" t="s">
        <v>22</v>
      </c>
      <c r="C13" s="177"/>
      <c r="D13" s="180" t="s">
        <v>23</v>
      </c>
      <c r="E13" s="180"/>
      <c r="F13" s="170" t="s">
        <v>26</v>
      </c>
      <c r="G13" s="171"/>
      <c r="H13" s="172" t="s">
        <v>157</v>
      </c>
      <c r="I13" s="174" t="s">
        <v>24</v>
      </c>
      <c r="J13" s="188" t="s">
        <v>25</v>
      </c>
    </row>
    <row r="14" spans="1:17" ht="32.25" customHeight="1" thickBot="1" x14ac:dyDescent="0.3">
      <c r="B14" s="178"/>
      <c r="C14" s="179"/>
      <c r="D14" s="181"/>
      <c r="E14" s="181"/>
      <c r="F14" s="10" t="s">
        <v>27</v>
      </c>
      <c r="G14" s="56" t="s">
        <v>104</v>
      </c>
      <c r="H14" s="173"/>
      <c r="I14" s="175"/>
      <c r="J14" s="189"/>
      <c r="N14" s="1" t="s">
        <v>140</v>
      </c>
      <c r="Q14" s="1" t="s">
        <v>30</v>
      </c>
    </row>
    <row r="15" spans="1:17" ht="33" x14ac:dyDescent="0.25">
      <c r="A15" s="11" t="s">
        <v>31</v>
      </c>
      <c r="B15" s="69" t="s">
        <v>0</v>
      </c>
      <c r="C15" s="49" t="s">
        <v>132</v>
      </c>
      <c r="D15" s="168" t="s">
        <v>57</v>
      </c>
      <c r="E15" s="169"/>
      <c r="F15" s="52">
        <v>44713</v>
      </c>
      <c r="G15" s="57">
        <v>45198</v>
      </c>
      <c r="H15" s="60" t="s">
        <v>29</v>
      </c>
      <c r="I15" s="40"/>
      <c r="J15" s="63"/>
      <c r="N15" s="1">
        <f t="shared" ref="N15:N20" si="0">SUMIF(H15,B$10,C$10)</f>
        <v>1</v>
      </c>
      <c r="Q15" s="1">
        <f>SUMIF(H15,B$11,C$10)</f>
        <v>0</v>
      </c>
    </row>
    <row r="16" spans="1:17" s="36" customFormat="1" ht="33" x14ac:dyDescent="0.25">
      <c r="A16" s="35" t="s">
        <v>31</v>
      </c>
      <c r="B16" s="70" t="s">
        <v>0</v>
      </c>
      <c r="C16" s="50" t="s">
        <v>2</v>
      </c>
      <c r="D16" s="162" t="s">
        <v>58</v>
      </c>
      <c r="E16" s="163"/>
      <c r="F16" s="53"/>
      <c r="G16" s="58"/>
      <c r="H16" s="61" t="s">
        <v>30</v>
      </c>
      <c r="I16" s="41"/>
      <c r="J16" s="53"/>
      <c r="N16" s="1">
        <f t="shared" si="0"/>
        <v>0</v>
      </c>
      <c r="Q16" s="1">
        <f t="shared" ref="Q16:Q45" si="1">SUMIF(H16,B$11,C$10)</f>
        <v>1</v>
      </c>
    </row>
    <row r="17" spans="1:17" ht="33" x14ac:dyDescent="0.25">
      <c r="A17" s="11" t="s">
        <v>31</v>
      </c>
      <c r="B17" s="71" t="s">
        <v>0</v>
      </c>
      <c r="C17" s="51" t="s">
        <v>3</v>
      </c>
      <c r="D17" s="164" t="s">
        <v>59</v>
      </c>
      <c r="E17" s="165"/>
      <c r="F17" s="214">
        <v>44092</v>
      </c>
      <c r="G17" s="215">
        <v>45198</v>
      </c>
      <c r="H17" s="62" t="s">
        <v>29</v>
      </c>
      <c r="I17" s="42"/>
      <c r="J17" s="54"/>
      <c r="N17" s="1">
        <f t="shared" si="0"/>
        <v>1</v>
      </c>
      <c r="Q17" s="1">
        <f t="shared" si="1"/>
        <v>0</v>
      </c>
    </row>
    <row r="18" spans="1:17" s="36" customFormat="1" ht="33" x14ac:dyDescent="0.25">
      <c r="A18" s="35" t="s">
        <v>31</v>
      </c>
      <c r="B18" s="70" t="s">
        <v>0</v>
      </c>
      <c r="C18" s="50" t="s">
        <v>4</v>
      </c>
      <c r="D18" s="162" t="s">
        <v>108</v>
      </c>
      <c r="E18" s="163"/>
      <c r="F18" s="53"/>
      <c r="G18" s="58"/>
      <c r="H18" s="61" t="s">
        <v>30</v>
      </c>
      <c r="I18" s="41"/>
      <c r="J18" s="53"/>
      <c r="N18" s="1">
        <f t="shared" si="0"/>
        <v>0</v>
      </c>
      <c r="Q18" s="1">
        <f t="shared" si="1"/>
        <v>1</v>
      </c>
    </row>
    <row r="19" spans="1:17" ht="33" x14ac:dyDescent="0.25">
      <c r="A19" s="11" t="s">
        <v>31</v>
      </c>
      <c r="B19" s="71" t="s">
        <v>0</v>
      </c>
      <c r="C19" s="51" t="s">
        <v>5</v>
      </c>
      <c r="D19" s="164" t="s">
        <v>60</v>
      </c>
      <c r="E19" s="165"/>
      <c r="F19" s="214">
        <v>45195</v>
      </c>
      <c r="G19" s="215">
        <v>45198</v>
      </c>
      <c r="H19" s="62" t="s">
        <v>29</v>
      </c>
      <c r="I19" s="42"/>
      <c r="J19" s="54"/>
      <c r="N19" s="1">
        <f t="shared" si="0"/>
        <v>1</v>
      </c>
      <c r="Q19" s="1">
        <f t="shared" si="1"/>
        <v>0</v>
      </c>
    </row>
    <row r="20" spans="1:17" ht="28.5" customHeight="1" x14ac:dyDescent="0.25">
      <c r="A20" s="11"/>
      <c r="B20" s="70" t="s">
        <v>0</v>
      </c>
      <c r="C20" s="50" t="s">
        <v>6</v>
      </c>
      <c r="D20" s="162" t="s">
        <v>109</v>
      </c>
      <c r="E20" s="163"/>
      <c r="F20" s="53"/>
      <c r="G20" s="58"/>
      <c r="H20" s="61" t="s">
        <v>30</v>
      </c>
      <c r="I20" s="41"/>
      <c r="J20" s="53"/>
      <c r="N20" s="1">
        <f t="shared" si="0"/>
        <v>0</v>
      </c>
      <c r="Q20" s="1">
        <f t="shared" si="1"/>
        <v>1</v>
      </c>
    </row>
    <row r="21" spans="1:17" s="36" customFormat="1" ht="33" customHeight="1" x14ac:dyDescent="0.25">
      <c r="A21" s="35" t="s">
        <v>31</v>
      </c>
      <c r="B21" s="71" t="s">
        <v>0</v>
      </c>
      <c r="C21" s="51" t="s">
        <v>8</v>
      </c>
      <c r="D21" s="164" t="s">
        <v>7</v>
      </c>
      <c r="E21" s="165"/>
      <c r="F21" s="54"/>
      <c r="G21" s="54"/>
      <c r="H21" s="156"/>
      <c r="I21" s="54"/>
      <c r="J21" s="54"/>
      <c r="N21" s="1"/>
      <c r="Q21" s="1"/>
    </row>
    <row r="22" spans="1:17" ht="23.25" customHeight="1" x14ac:dyDescent="0.25">
      <c r="A22" s="11" t="s">
        <v>31</v>
      </c>
      <c r="B22" s="71"/>
      <c r="C22" s="51"/>
      <c r="D22" s="48" t="s">
        <v>49</v>
      </c>
      <c r="E22" s="39" t="s">
        <v>61</v>
      </c>
      <c r="F22" s="214">
        <v>44092</v>
      </c>
      <c r="G22" s="215">
        <v>45198</v>
      </c>
      <c r="H22" s="62" t="s">
        <v>29</v>
      </c>
      <c r="I22" s="42"/>
      <c r="J22" s="54"/>
      <c r="N22" s="1">
        <f>SUMIF(H22,B$10,C$10)</f>
        <v>1</v>
      </c>
      <c r="Q22" s="1">
        <f t="shared" si="1"/>
        <v>0</v>
      </c>
    </row>
    <row r="23" spans="1:17" ht="23.25" customHeight="1" x14ac:dyDescent="0.25">
      <c r="A23" s="11" t="s">
        <v>31</v>
      </c>
      <c r="B23" s="71"/>
      <c r="C23" s="51"/>
      <c r="D23" s="19" t="s">
        <v>50</v>
      </c>
      <c r="E23" s="20" t="s">
        <v>62</v>
      </c>
      <c r="F23" s="214">
        <v>44092</v>
      </c>
      <c r="G23" s="215">
        <v>45198</v>
      </c>
      <c r="H23" s="62" t="s">
        <v>29</v>
      </c>
      <c r="I23" s="42"/>
      <c r="J23" s="54"/>
      <c r="N23" s="1">
        <f>SUMIF(H23,B$10,C$10)</f>
        <v>1</v>
      </c>
      <c r="Q23" s="1">
        <f t="shared" si="1"/>
        <v>0</v>
      </c>
    </row>
    <row r="24" spans="1:17" s="36" customFormat="1" ht="33" x14ac:dyDescent="0.25">
      <c r="A24" s="35" t="s">
        <v>31</v>
      </c>
      <c r="B24" s="70" t="s">
        <v>0</v>
      </c>
      <c r="C24" s="50" t="s">
        <v>9</v>
      </c>
      <c r="D24" s="162" t="s">
        <v>63</v>
      </c>
      <c r="E24" s="163"/>
      <c r="F24" s="53"/>
      <c r="G24" s="58"/>
      <c r="H24" s="61" t="s">
        <v>30</v>
      </c>
      <c r="I24" s="41"/>
      <c r="J24" s="53"/>
      <c r="N24" s="1">
        <f>SUMIF(H24,B$10,C$10)</f>
        <v>0</v>
      </c>
      <c r="Q24" s="1">
        <f t="shared" si="1"/>
        <v>1</v>
      </c>
    </row>
    <row r="25" spans="1:17" ht="33" x14ac:dyDescent="0.25">
      <c r="A25" s="11" t="s">
        <v>31</v>
      </c>
      <c r="B25" s="71" t="s">
        <v>0</v>
      </c>
      <c r="C25" s="51" t="s">
        <v>10</v>
      </c>
      <c r="D25" s="164" t="s">
        <v>110</v>
      </c>
      <c r="E25" s="165"/>
      <c r="F25" s="54"/>
      <c r="G25" s="54"/>
      <c r="H25" s="156"/>
      <c r="I25" s="54"/>
      <c r="J25" s="54"/>
    </row>
    <row r="26" spans="1:17" ht="18.75" x14ac:dyDescent="0.25">
      <c r="A26" s="11"/>
      <c r="B26" s="71"/>
      <c r="C26" s="51"/>
      <c r="D26" s="106" t="s">
        <v>49</v>
      </c>
      <c r="E26" s="107" t="s">
        <v>111</v>
      </c>
      <c r="F26" s="214">
        <v>45156</v>
      </c>
      <c r="G26" s="215">
        <v>45198</v>
      </c>
      <c r="H26" s="62" t="s">
        <v>29</v>
      </c>
      <c r="I26" s="42"/>
      <c r="J26" s="54"/>
      <c r="N26" s="1">
        <f>SUMIF(H26,B$10,C$10)</f>
        <v>1</v>
      </c>
      <c r="Q26" s="1">
        <f t="shared" si="1"/>
        <v>0</v>
      </c>
    </row>
    <row r="27" spans="1:17" ht="18.75" x14ac:dyDescent="0.25">
      <c r="A27" s="11"/>
      <c r="B27" s="71"/>
      <c r="C27" s="51"/>
      <c r="D27" s="106" t="s">
        <v>50</v>
      </c>
      <c r="E27" s="107" t="s">
        <v>112</v>
      </c>
      <c r="F27" s="214">
        <v>45156</v>
      </c>
      <c r="G27" s="215">
        <v>45198</v>
      </c>
      <c r="H27" s="62" t="s">
        <v>29</v>
      </c>
      <c r="I27" s="42"/>
      <c r="J27" s="54"/>
      <c r="N27" s="1">
        <f>SUMIF(H27,B$10,C$10)</f>
        <v>1</v>
      </c>
      <c r="Q27" s="1">
        <f t="shared" si="1"/>
        <v>0</v>
      </c>
    </row>
    <row r="28" spans="1:17" ht="33" customHeight="1" x14ac:dyDescent="0.25">
      <c r="A28" s="11" t="s">
        <v>31</v>
      </c>
      <c r="B28" s="70" t="s">
        <v>0</v>
      </c>
      <c r="C28" s="50" t="s">
        <v>11</v>
      </c>
      <c r="D28" s="162" t="s">
        <v>115</v>
      </c>
      <c r="E28" s="163"/>
      <c r="F28" s="54"/>
      <c r="G28" s="54"/>
      <c r="H28" s="156"/>
      <c r="I28" s="54"/>
      <c r="J28" s="54"/>
    </row>
    <row r="29" spans="1:17" ht="18.75" x14ac:dyDescent="0.25">
      <c r="A29" s="11"/>
      <c r="B29" s="71"/>
      <c r="C29" s="51"/>
      <c r="D29" s="106" t="s">
        <v>49</v>
      </c>
      <c r="E29" s="107" t="s">
        <v>113</v>
      </c>
      <c r="F29" s="214">
        <v>45156</v>
      </c>
      <c r="G29" s="215">
        <v>45198</v>
      </c>
      <c r="H29" s="62" t="s">
        <v>29</v>
      </c>
      <c r="I29" s="42"/>
      <c r="J29" s="54"/>
      <c r="N29" s="1">
        <f>SUMIF(H29,B$10,C$10)</f>
        <v>1</v>
      </c>
      <c r="Q29" s="1">
        <f t="shared" si="1"/>
        <v>0</v>
      </c>
    </row>
    <row r="30" spans="1:17" ht="18.75" x14ac:dyDescent="0.25">
      <c r="A30" s="11"/>
      <c r="B30" s="71"/>
      <c r="C30" s="51"/>
      <c r="D30" s="106" t="s">
        <v>50</v>
      </c>
      <c r="E30" s="107" t="s">
        <v>114</v>
      </c>
      <c r="F30" s="214">
        <v>45168</v>
      </c>
      <c r="G30" s="215">
        <v>45198</v>
      </c>
      <c r="H30" s="62" t="s">
        <v>29</v>
      </c>
      <c r="I30" s="42"/>
      <c r="J30" s="54"/>
      <c r="N30" s="1">
        <f>SUMIF(H30,B$10,C$10)</f>
        <v>1</v>
      </c>
      <c r="Q30" s="1">
        <f t="shared" si="1"/>
        <v>0</v>
      </c>
    </row>
    <row r="31" spans="1:17" s="36" customFormat="1" ht="33" x14ac:dyDescent="0.25">
      <c r="A31" s="35" t="s">
        <v>31</v>
      </c>
      <c r="B31" s="70" t="s">
        <v>0</v>
      </c>
      <c r="C31" s="50" t="s">
        <v>12</v>
      </c>
      <c r="D31" s="162" t="s">
        <v>64</v>
      </c>
      <c r="E31" s="163"/>
      <c r="F31" s="53"/>
      <c r="G31" s="58"/>
      <c r="H31" s="61" t="s">
        <v>30</v>
      </c>
      <c r="I31" s="41"/>
      <c r="J31" s="53"/>
      <c r="N31" s="1">
        <f>SUMIF(H31,B$10,C$10)</f>
        <v>0</v>
      </c>
      <c r="Q31" s="1">
        <f t="shared" si="1"/>
        <v>1</v>
      </c>
    </row>
    <row r="32" spans="1:17" ht="33" x14ac:dyDescent="0.25">
      <c r="A32" s="11" t="s">
        <v>31</v>
      </c>
      <c r="B32" s="71" t="s">
        <v>0</v>
      </c>
      <c r="C32" s="51" t="s">
        <v>13</v>
      </c>
      <c r="D32" s="164" t="s">
        <v>65</v>
      </c>
      <c r="E32" s="165"/>
      <c r="F32" s="54"/>
      <c r="G32" s="59"/>
      <c r="H32" s="62" t="s">
        <v>30</v>
      </c>
      <c r="I32" s="42"/>
      <c r="J32" s="54"/>
      <c r="N32" s="1">
        <f>SUMIF(H32,B$10,C$10)</f>
        <v>0</v>
      </c>
      <c r="Q32" s="1">
        <f t="shared" si="1"/>
        <v>1</v>
      </c>
    </row>
    <row r="33" spans="1:18" s="36" customFormat="1" ht="33" customHeight="1" x14ac:dyDescent="0.25">
      <c r="A33" s="35" t="s">
        <v>31</v>
      </c>
      <c r="B33" s="70" t="s">
        <v>0</v>
      </c>
      <c r="C33" s="50" t="s">
        <v>14</v>
      </c>
      <c r="D33" s="166" t="s">
        <v>66</v>
      </c>
      <c r="E33" s="167"/>
      <c r="F33" s="53"/>
      <c r="G33" s="58"/>
      <c r="H33" s="61" t="s">
        <v>28</v>
      </c>
      <c r="I33" s="41"/>
      <c r="J33" s="53" t="s">
        <v>166</v>
      </c>
      <c r="N33" s="1">
        <f>SUMIF(H33,B$10,C$10)</f>
        <v>0</v>
      </c>
      <c r="Q33" s="1">
        <f t="shared" si="1"/>
        <v>0</v>
      </c>
    </row>
    <row r="34" spans="1:18" s="36" customFormat="1" ht="33" customHeight="1" x14ac:dyDescent="0.25">
      <c r="A34" s="35" t="s">
        <v>31</v>
      </c>
      <c r="B34" s="71" t="s">
        <v>0</v>
      </c>
      <c r="C34" s="51" t="s">
        <v>15</v>
      </c>
      <c r="D34" s="164" t="s">
        <v>116</v>
      </c>
      <c r="E34" s="165"/>
      <c r="F34" s="54"/>
      <c r="G34" s="54"/>
      <c r="H34" s="156"/>
      <c r="I34" s="54"/>
      <c r="J34" s="54"/>
      <c r="N34" s="1"/>
      <c r="Q34" s="1"/>
    </row>
    <row r="35" spans="1:18" ht="18.75" customHeight="1" x14ac:dyDescent="0.25">
      <c r="A35" s="11"/>
      <c r="B35" s="71"/>
      <c r="C35" s="51"/>
      <c r="D35" s="106" t="s">
        <v>49</v>
      </c>
      <c r="E35" s="107" t="s">
        <v>117</v>
      </c>
      <c r="F35" s="54"/>
      <c r="G35" s="59"/>
      <c r="H35" s="62" t="s">
        <v>28</v>
      </c>
      <c r="I35" s="42"/>
      <c r="J35" s="54" t="s">
        <v>166</v>
      </c>
      <c r="N35" s="1">
        <f t="shared" ref="N35:N45" si="2">SUMIF(H35,B$10,C$10)</f>
        <v>0</v>
      </c>
      <c r="Q35" s="1">
        <f t="shared" si="1"/>
        <v>0</v>
      </c>
    </row>
    <row r="36" spans="1:18" s="36" customFormat="1" ht="18.75" customHeight="1" x14ac:dyDescent="0.25">
      <c r="A36" s="35"/>
      <c r="B36" s="71"/>
      <c r="C36" s="51"/>
      <c r="D36" s="106" t="s">
        <v>50</v>
      </c>
      <c r="E36" s="107" t="s">
        <v>118</v>
      </c>
      <c r="F36" s="54"/>
      <c r="G36" s="54"/>
      <c r="H36" s="156" t="s">
        <v>28</v>
      </c>
      <c r="I36" s="54"/>
      <c r="J36" s="54" t="s">
        <v>166</v>
      </c>
      <c r="N36" s="1">
        <f t="shared" si="2"/>
        <v>0</v>
      </c>
      <c r="Q36" s="1">
        <f t="shared" si="1"/>
        <v>0</v>
      </c>
    </row>
    <row r="37" spans="1:18" ht="33" customHeight="1" x14ac:dyDescent="0.25">
      <c r="A37" s="11" t="s">
        <v>31</v>
      </c>
      <c r="B37" s="70" t="s">
        <v>0</v>
      </c>
      <c r="C37" s="50" t="s">
        <v>16</v>
      </c>
      <c r="D37" s="162" t="s">
        <v>72</v>
      </c>
      <c r="E37" s="163"/>
      <c r="F37" s="53"/>
      <c r="G37" s="58"/>
      <c r="H37" s="61" t="s">
        <v>28</v>
      </c>
      <c r="I37" s="41"/>
      <c r="J37" s="53" t="s">
        <v>166</v>
      </c>
      <c r="N37" s="1">
        <f t="shared" si="2"/>
        <v>0</v>
      </c>
      <c r="Q37" s="1">
        <f t="shared" si="1"/>
        <v>0</v>
      </c>
    </row>
    <row r="38" spans="1:18" s="36" customFormat="1" ht="33" customHeight="1" x14ac:dyDescent="0.25">
      <c r="A38" s="35" t="s">
        <v>31</v>
      </c>
      <c r="B38" s="71" t="s">
        <v>0</v>
      </c>
      <c r="C38" s="51" t="s">
        <v>17</v>
      </c>
      <c r="D38" s="164" t="s">
        <v>68</v>
      </c>
      <c r="E38" s="165"/>
      <c r="F38" s="54"/>
      <c r="G38" s="59"/>
      <c r="H38" s="62" t="s">
        <v>28</v>
      </c>
      <c r="I38" s="42"/>
      <c r="J38" s="54" t="s">
        <v>166</v>
      </c>
      <c r="N38" s="1">
        <f t="shared" si="2"/>
        <v>0</v>
      </c>
      <c r="Q38" s="1">
        <f t="shared" si="1"/>
        <v>0</v>
      </c>
    </row>
    <row r="39" spans="1:18" ht="33" customHeight="1" x14ac:dyDescent="0.25">
      <c r="A39" s="11" t="s">
        <v>31</v>
      </c>
      <c r="B39" s="70" t="s">
        <v>0</v>
      </c>
      <c r="C39" s="50" t="s">
        <v>18</v>
      </c>
      <c r="D39" s="162" t="s">
        <v>69</v>
      </c>
      <c r="E39" s="163"/>
      <c r="F39" s="53"/>
      <c r="G39" s="58"/>
      <c r="H39" s="61" t="s">
        <v>28</v>
      </c>
      <c r="I39" s="41"/>
      <c r="J39" s="53" t="s">
        <v>166</v>
      </c>
      <c r="N39" s="1">
        <f t="shared" si="2"/>
        <v>0</v>
      </c>
      <c r="Q39" s="1">
        <f t="shared" si="1"/>
        <v>0</v>
      </c>
    </row>
    <row r="40" spans="1:18" s="36" customFormat="1" ht="33" customHeight="1" x14ac:dyDescent="0.25">
      <c r="A40" s="35" t="s">
        <v>31</v>
      </c>
      <c r="B40" s="71" t="s">
        <v>0</v>
      </c>
      <c r="C40" s="51" t="s">
        <v>19</v>
      </c>
      <c r="D40" s="164" t="s">
        <v>70</v>
      </c>
      <c r="E40" s="165"/>
      <c r="F40" s="54"/>
      <c r="G40" s="59"/>
      <c r="H40" s="62" t="s">
        <v>28</v>
      </c>
      <c r="I40" s="42"/>
      <c r="J40" s="54" t="s">
        <v>166</v>
      </c>
      <c r="N40" s="1">
        <f t="shared" si="2"/>
        <v>0</v>
      </c>
      <c r="Q40" s="1">
        <f t="shared" si="1"/>
        <v>0</v>
      </c>
    </row>
    <row r="41" spans="1:18" ht="33" customHeight="1" x14ac:dyDescent="0.25">
      <c r="A41" s="11" t="s">
        <v>31</v>
      </c>
      <c r="B41" s="70" t="s">
        <v>0</v>
      </c>
      <c r="C41" s="50" t="s">
        <v>20</v>
      </c>
      <c r="D41" s="162" t="s">
        <v>119</v>
      </c>
      <c r="E41" s="163"/>
      <c r="F41" s="53"/>
      <c r="G41" s="58"/>
      <c r="H41" s="61" t="s">
        <v>28</v>
      </c>
      <c r="I41" s="41"/>
      <c r="J41" s="53" t="s">
        <v>166</v>
      </c>
      <c r="N41" s="1">
        <f t="shared" si="2"/>
        <v>0</v>
      </c>
      <c r="Q41" s="1">
        <f t="shared" si="1"/>
        <v>0</v>
      </c>
    </row>
    <row r="42" spans="1:18" s="36" customFormat="1" ht="33" customHeight="1" x14ac:dyDescent="0.25">
      <c r="A42" s="35" t="s">
        <v>31</v>
      </c>
      <c r="B42" s="71" t="s">
        <v>0</v>
      </c>
      <c r="C42" s="51" t="s">
        <v>130</v>
      </c>
      <c r="D42" s="164" t="s">
        <v>67</v>
      </c>
      <c r="E42" s="165"/>
      <c r="F42" s="54"/>
      <c r="G42" s="59"/>
      <c r="H42" s="62" t="s">
        <v>28</v>
      </c>
      <c r="I42" s="42"/>
      <c r="J42" s="54" t="s">
        <v>166</v>
      </c>
      <c r="N42" s="1">
        <f t="shared" si="2"/>
        <v>0</v>
      </c>
      <c r="Q42" s="1">
        <f t="shared" si="1"/>
        <v>0</v>
      </c>
    </row>
    <row r="43" spans="1:18" ht="33" customHeight="1" x14ac:dyDescent="0.25">
      <c r="A43" s="11" t="s">
        <v>31</v>
      </c>
      <c r="B43" s="70" t="s">
        <v>0</v>
      </c>
      <c r="C43" s="50" t="s">
        <v>21</v>
      </c>
      <c r="D43" s="162" t="s">
        <v>133</v>
      </c>
      <c r="E43" s="163"/>
      <c r="F43" s="53"/>
      <c r="G43" s="58"/>
      <c r="H43" s="61" t="s">
        <v>28</v>
      </c>
      <c r="I43" s="41"/>
      <c r="J43" s="53" t="s">
        <v>166</v>
      </c>
      <c r="N43" s="1">
        <f t="shared" si="2"/>
        <v>0</v>
      </c>
      <c r="Q43" s="1">
        <f t="shared" si="1"/>
        <v>0</v>
      </c>
    </row>
    <row r="44" spans="1:18" s="36" customFormat="1" ht="33" customHeight="1" x14ac:dyDescent="0.25">
      <c r="A44" s="35" t="s">
        <v>31</v>
      </c>
      <c r="B44" s="71" t="s">
        <v>0</v>
      </c>
      <c r="C44" s="51" t="s">
        <v>131</v>
      </c>
      <c r="D44" s="164" t="s">
        <v>71</v>
      </c>
      <c r="E44" s="165"/>
      <c r="F44" s="54"/>
      <c r="G44" s="59"/>
      <c r="H44" s="62" t="s">
        <v>28</v>
      </c>
      <c r="I44" s="42"/>
      <c r="J44" s="54" t="s">
        <v>166</v>
      </c>
      <c r="N44" s="1">
        <f t="shared" si="2"/>
        <v>0</v>
      </c>
      <c r="Q44" s="1">
        <f t="shared" si="1"/>
        <v>0</v>
      </c>
    </row>
    <row r="45" spans="1:18" ht="33.75" customHeight="1" thickBot="1" x14ac:dyDescent="0.3">
      <c r="A45" s="11">
        <v>27</v>
      </c>
      <c r="B45" s="70" t="s">
        <v>0</v>
      </c>
      <c r="C45" s="50" t="s">
        <v>141</v>
      </c>
      <c r="D45" s="162" t="s">
        <v>73</v>
      </c>
      <c r="E45" s="163"/>
      <c r="F45" s="53"/>
      <c r="G45" s="58"/>
      <c r="H45" s="61" t="s">
        <v>30</v>
      </c>
      <c r="I45" s="41"/>
      <c r="J45" s="53"/>
      <c r="N45" s="1">
        <f t="shared" si="2"/>
        <v>0</v>
      </c>
      <c r="Q45" s="1">
        <f t="shared" si="1"/>
        <v>1</v>
      </c>
    </row>
    <row r="46" spans="1:18" ht="18" thickBot="1" x14ac:dyDescent="0.35">
      <c r="B46" s="28" t="s">
        <v>42</v>
      </c>
      <c r="C46" s="21"/>
      <c r="D46" s="21"/>
      <c r="E46" s="22"/>
      <c r="F46" s="22"/>
      <c r="G46" s="22"/>
      <c r="H46" s="23"/>
      <c r="I46" s="23"/>
      <c r="J46" s="24"/>
      <c r="N46" s="130">
        <f>SUM(N15:N45)</f>
        <v>9</v>
      </c>
      <c r="Q46" s="130">
        <f>SUM(Q15:Q45)</f>
        <v>7</v>
      </c>
      <c r="R46" s="1">
        <f>+A45-Q46</f>
        <v>20</v>
      </c>
    </row>
    <row r="47" spans="1:18" ht="15.75" x14ac:dyDescent="0.25">
      <c r="F47" s="161" t="s">
        <v>33</v>
      </c>
      <c r="G47" s="161"/>
      <c r="H47" s="133">
        <f>+N46/R46</f>
        <v>0.45</v>
      </c>
      <c r="I47" s="132"/>
    </row>
  </sheetData>
  <mergeCells count="33">
    <mergeCell ref="B13:C14"/>
    <mergeCell ref="D13:E14"/>
    <mergeCell ref="E1:J1"/>
    <mergeCell ref="E2:J2"/>
    <mergeCell ref="E3:J3"/>
    <mergeCell ref="J13:J14"/>
    <mergeCell ref="D15:E15"/>
    <mergeCell ref="D16:E16"/>
    <mergeCell ref="F13:G13"/>
    <mergeCell ref="H13:H14"/>
    <mergeCell ref="I13:I14"/>
    <mergeCell ref="D25:E25"/>
    <mergeCell ref="D28:E28"/>
    <mergeCell ref="D31:E31"/>
    <mergeCell ref="D32:E32"/>
    <mergeCell ref="D34:E34"/>
    <mergeCell ref="D33:E33"/>
    <mergeCell ref="D17:E17"/>
    <mergeCell ref="D18:E18"/>
    <mergeCell ref="D19:E19"/>
    <mergeCell ref="D21:E21"/>
    <mergeCell ref="D24:E24"/>
    <mergeCell ref="D20:E20"/>
    <mergeCell ref="F47:G47"/>
    <mergeCell ref="D43:E43"/>
    <mergeCell ref="D44:E44"/>
    <mergeCell ref="D45:E45"/>
    <mergeCell ref="D37:E37"/>
    <mergeCell ref="D39:E39"/>
    <mergeCell ref="D40:E40"/>
    <mergeCell ref="D41:E41"/>
    <mergeCell ref="D38:E38"/>
    <mergeCell ref="D42:E42"/>
  </mergeCells>
  <dataValidations count="1">
    <dataValidation type="list" allowBlank="1" showInputMessage="1" showErrorMessage="1" sqref="H15:I20 H22:I24 H35:I46 H26:I27 H29:I33" xr:uid="{00000000-0002-0000-0000-000000000000}">
      <formula1>$B$9:$B$11</formula1>
    </dataValidation>
  </dataValidations>
  <pageMargins left="0.52" right="0.38" top="0.43" bottom="0.5" header="0.31496062992125984" footer="0.31496062992125984"/>
  <pageSetup paperSize="9" scale="5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42"/>
  <sheetViews>
    <sheetView view="pageBreakPreview" topLeftCell="A8" zoomScale="85" zoomScaleNormal="100" zoomScaleSheetLayoutView="85" workbookViewId="0">
      <selection activeCell="J33" sqref="J33"/>
    </sheetView>
  </sheetViews>
  <sheetFormatPr baseColWidth="10" defaultColWidth="11.42578125" defaultRowHeight="15" x14ac:dyDescent="0.25"/>
  <cols>
    <col min="1" max="1" width="2.7109375" style="3" customWidth="1"/>
    <col min="2" max="2" width="3" style="1" customWidth="1"/>
    <col min="3" max="3" width="6" style="2" customWidth="1"/>
    <col min="4" max="4" width="4.140625" style="2" customWidth="1"/>
    <col min="5" max="5" width="45.7109375" style="1" customWidth="1"/>
    <col min="6" max="6" width="14.5703125" style="1" customWidth="1"/>
    <col min="7" max="7" width="17.28515625" style="1" customWidth="1"/>
    <col min="8" max="8" width="13.42578125" style="1" customWidth="1"/>
    <col min="9" max="9" width="14.42578125" style="1" customWidth="1"/>
    <col min="10" max="10" width="49.140625" style="1" customWidth="1"/>
    <col min="12" max="16384" width="11.42578125" style="1"/>
  </cols>
  <sheetData>
    <row r="1" spans="1:17" ht="23.25" x14ac:dyDescent="0.35">
      <c r="A1" s="72"/>
      <c r="B1" s="12"/>
      <c r="C1" s="13"/>
      <c r="D1" s="13"/>
      <c r="E1" s="182" t="s">
        <v>158</v>
      </c>
      <c r="F1" s="182"/>
      <c r="G1" s="182"/>
      <c r="H1" s="182"/>
      <c r="I1" s="182"/>
      <c r="J1" s="183"/>
    </row>
    <row r="2" spans="1:17" ht="23.25" x14ac:dyDescent="0.35">
      <c r="A2" s="73"/>
      <c r="B2" s="4"/>
      <c r="C2" s="5"/>
      <c r="D2" s="5"/>
      <c r="E2" s="184" t="s">
        <v>32</v>
      </c>
      <c r="F2" s="184"/>
      <c r="G2" s="184"/>
      <c r="H2" s="184"/>
      <c r="I2" s="184"/>
      <c r="J2" s="185"/>
    </row>
    <row r="3" spans="1:17" ht="26.25" x14ac:dyDescent="0.4">
      <c r="A3" s="73"/>
      <c r="B3" s="4"/>
      <c r="C3" s="5"/>
      <c r="D3" s="5"/>
      <c r="E3" s="186" t="s">
        <v>45</v>
      </c>
      <c r="F3" s="186"/>
      <c r="G3" s="186"/>
      <c r="H3" s="186"/>
      <c r="I3" s="186"/>
      <c r="J3" s="187"/>
    </row>
    <row r="4" spans="1:17" s="34" customFormat="1" ht="17.25" x14ac:dyDescent="0.3">
      <c r="A4" s="74"/>
      <c r="B4" s="30"/>
      <c r="C4" s="25"/>
      <c r="D4" s="25"/>
      <c r="E4" s="31" t="s">
        <v>35</v>
      </c>
      <c r="F4" s="31" t="str">
        <f>+'A- Control Info Societaria'!F4</f>
        <v>TABACALERA MENHURSA S.A.</v>
      </c>
      <c r="G4" s="32"/>
      <c r="H4" s="32"/>
      <c r="I4" s="32"/>
      <c r="J4" s="33"/>
    </row>
    <row r="5" spans="1:17" s="34" customFormat="1" ht="18" thickBot="1" x14ac:dyDescent="0.35">
      <c r="A5" s="74"/>
      <c r="B5" s="30"/>
      <c r="C5" s="25"/>
      <c r="D5" s="25"/>
      <c r="E5" s="31" t="s">
        <v>36</v>
      </c>
      <c r="F5" s="31" t="str">
        <f>+'A- Control Info Societaria'!F5</f>
        <v>Del 01 de enero a 31 de diciembre del 2023</v>
      </c>
      <c r="G5" s="32"/>
      <c r="H5" s="32"/>
      <c r="I5" s="32"/>
      <c r="J5" s="33"/>
    </row>
    <row r="6" spans="1:17" s="34" customFormat="1" ht="17.25" x14ac:dyDescent="0.3">
      <c r="A6" s="74"/>
      <c r="B6" s="30"/>
      <c r="C6" s="25"/>
      <c r="D6" s="25"/>
      <c r="E6" s="31" t="s">
        <v>105</v>
      </c>
      <c r="F6" s="31" t="str">
        <f>+'A- Control Info Societaria'!F6</f>
        <v>Kely Balarezo</v>
      </c>
      <c r="G6" s="32"/>
      <c r="H6" s="32" t="s">
        <v>38</v>
      </c>
      <c r="I6" s="160">
        <f>+'A- Control Info Societaria'!I6</f>
        <v>45198</v>
      </c>
      <c r="J6" s="104" t="s">
        <v>43</v>
      </c>
    </row>
    <row r="7" spans="1:17" s="34" customFormat="1" ht="17.25" x14ac:dyDescent="0.3">
      <c r="A7" s="74"/>
      <c r="B7" s="30"/>
      <c r="C7" s="25"/>
      <c r="D7" s="25"/>
      <c r="E7" s="31" t="s">
        <v>44</v>
      </c>
      <c r="F7" s="31" t="str">
        <f>+'A- Control Info Societaria'!F7</f>
        <v>Elizabeth Palacios</v>
      </c>
      <c r="G7" s="32"/>
      <c r="H7" s="32" t="s">
        <v>38</v>
      </c>
      <c r="I7" s="160">
        <f>+I6+3</f>
        <v>45201</v>
      </c>
      <c r="J7" s="105" t="s">
        <v>160</v>
      </c>
    </row>
    <row r="8" spans="1:17" ht="27" thickBot="1" x14ac:dyDescent="0.45">
      <c r="A8" s="73"/>
      <c r="B8" s="18" t="s">
        <v>33</v>
      </c>
      <c r="C8" s="5"/>
      <c r="D8" s="5"/>
      <c r="E8" s="111"/>
      <c r="F8" s="108"/>
      <c r="G8" s="111"/>
      <c r="H8" s="111"/>
      <c r="I8" s="111"/>
      <c r="J8" s="151" t="s">
        <v>165</v>
      </c>
    </row>
    <row r="9" spans="1:17" ht="15.75" x14ac:dyDescent="0.25">
      <c r="A9" s="73"/>
      <c r="B9" s="15" t="s">
        <v>28</v>
      </c>
      <c r="C9" s="5" t="s">
        <v>139</v>
      </c>
      <c r="D9" s="46" t="s">
        <v>39</v>
      </c>
      <c r="E9" s="6"/>
      <c r="F9" s="6"/>
      <c r="G9" s="6"/>
      <c r="H9" s="6"/>
      <c r="I9" s="6"/>
      <c r="J9" s="75"/>
    </row>
    <row r="10" spans="1:17" ht="15.75" x14ac:dyDescent="0.25">
      <c r="A10" s="73"/>
      <c r="B10" s="16" t="s">
        <v>29</v>
      </c>
      <c r="C10" s="129">
        <v>1</v>
      </c>
      <c r="D10" s="46" t="s">
        <v>40</v>
      </c>
      <c r="E10" s="6"/>
      <c r="F10" s="155" t="s">
        <v>156</v>
      </c>
      <c r="G10" s="6"/>
      <c r="H10" s="6"/>
      <c r="I10" s="6"/>
      <c r="J10" s="75"/>
    </row>
    <row r="11" spans="1:17" ht="16.5" thickBot="1" x14ac:dyDescent="0.3">
      <c r="A11" s="73"/>
      <c r="B11" s="17" t="s">
        <v>30</v>
      </c>
      <c r="C11" s="7" t="s">
        <v>139</v>
      </c>
      <c r="D11" s="47" t="s">
        <v>41</v>
      </c>
      <c r="E11" s="8"/>
      <c r="F11" s="47" t="s">
        <v>155</v>
      </c>
      <c r="G11" s="8"/>
      <c r="H11" s="8"/>
      <c r="I11" s="8"/>
      <c r="J11" s="9"/>
    </row>
    <row r="12" spans="1:17" ht="16.5" thickBot="1" x14ac:dyDescent="0.3">
      <c r="A12" s="73"/>
      <c r="B12" s="6"/>
      <c r="C12" s="5"/>
      <c r="D12" s="5"/>
      <c r="E12" s="6"/>
      <c r="F12" s="6"/>
      <c r="G12" s="6"/>
      <c r="H12" s="6"/>
      <c r="I12" s="6"/>
      <c r="J12" s="75"/>
    </row>
    <row r="13" spans="1:17" ht="16.5" customHeight="1" thickBot="1" x14ac:dyDescent="0.3">
      <c r="A13" s="73"/>
      <c r="B13" s="176" t="s">
        <v>22</v>
      </c>
      <c r="C13" s="177"/>
      <c r="D13" s="176" t="s">
        <v>23</v>
      </c>
      <c r="E13" s="177"/>
      <c r="F13" s="170" t="s">
        <v>26</v>
      </c>
      <c r="G13" s="194"/>
      <c r="H13" s="172" t="s">
        <v>157</v>
      </c>
      <c r="I13" s="172" t="s">
        <v>24</v>
      </c>
      <c r="J13" s="188" t="s">
        <v>25</v>
      </c>
    </row>
    <row r="14" spans="1:17" ht="32.25" thickBot="1" x14ac:dyDescent="0.3">
      <c r="A14" s="73"/>
      <c r="B14" s="178"/>
      <c r="C14" s="179"/>
      <c r="D14" s="178"/>
      <c r="E14" s="179"/>
      <c r="F14" s="10" t="s">
        <v>27</v>
      </c>
      <c r="G14" s="56" t="s">
        <v>104</v>
      </c>
      <c r="H14" s="173"/>
      <c r="I14" s="173"/>
      <c r="J14" s="189"/>
      <c r="N14" s="1" t="s">
        <v>140</v>
      </c>
      <c r="Q14" s="1" t="s">
        <v>30</v>
      </c>
    </row>
    <row r="15" spans="1:17" ht="33" customHeight="1" x14ac:dyDescent="0.25">
      <c r="A15" s="76" t="s">
        <v>31</v>
      </c>
      <c r="B15" s="69" t="s">
        <v>46</v>
      </c>
      <c r="C15" s="49" t="s">
        <v>1</v>
      </c>
      <c r="D15" s="192" t="s">
        <v>74</v>
      </c>
      <c r="E15" s="193"/>
      <c r="F15" s="52"/>
      <c r="G15" s="57"/>
      <c r="H15" s="60" t="s">
        <v>28</v>
      </c>
      <c r="I15" s="60"/>
      <c r="J15" s="63" t="s">
        <v>166</v>
      </c>
      <c r="N15" s="1">
        <f>SUMIF(H15,B$10,C$10)</f>
        <v>0</v>
      </c>
      <c r="Q15" s="1">
        <f>SUMIF(H15,B$11,C$10)</f>
        <v>0</v>
      </c>
    </row>
    <row r="16" spans="1:17" s="36" customFormat="1" ht="33" customHeight="1" x14ac:dyDescent="0.25">
      <c r="A16" s="77" t="s">
        <v>31</v>
      </c>
      <c r="B16" s="70" t="s">
        <v>46</v>
      </c>
      <c r="C16" s="50" t="s">
        <v>2</v>
      </c>
      <c r="D16" s="166" t="s">
        <v>120</v>
      </c>
      <c r="E16" s="167"/>
      <c r="F16" s="53"/>
      <c r="G16" s="58"/>
      <c r="H16" s="61" t="s">
        <v>28</v>
      </c>
      <c r="I16" s="61"/>
      <c r="J16" s="53" t="s">
        <v>166</v>
      </c>
      <c r="N16" s="1">
        <f>SUMIF(H16,B$10,C$10)</f>
        <v>0</v>
      </c>
      <c r="Q16" s="1">
        <f t="shared" ref="Q16:Q31" si="0">SUMIF(H16,B$11,C$10)</f>
        <v>0</v>
      </c>
    </row>
    <row r="17" spans="1:17" s="36" customFormat="1" ht="18.75" customHeight="1" x14ac:dyDescent="0.25">
      <c r="A17" s="77"/>
      <c r="B17" s="71" t="s">
        <v>46</v>
      </c>
      <c r="C17" s="51" t="s">
        <v>3</v>
      </c>
      <c r="D17" s="190" t="s">
        <v>121</v>
      </c>
      <c r="E17" s="191"/>
      <c r="F17" s="54"/>
      <c r="G17" s="54"/>
      <c r="H17" s="54" t="s">
        <v>28</v>
      </c>
      <c r="I17" s="54"/>
      <c r="J17" s="54" t="s">
        <v>166</v>
      </c>
      <c r="L17" s="1"/>
      <c r="M17" s="1"/>
      <c r="N17" s="1">
        <f>SUMIF(H17,B$10,C$10)</f>
        <v>0</v>
      </c>
      <c r="O17" s="1"/>
      <c r="P17" s="1"/>
      <c r="Q17" s="1">
        <f t="shared" si="0"/>
        <v>0</v>
      </c>
    </row>
    <row r="18" spans="1:17" ht="33" customHeight="1" x14ac:dyDescent="0.25">
      <c r="A18" s="76" t="s">
        <v>31</v>
      </c>
      <c r="B18" s="70" t="s">
        <v>46</v>
      </c>
      <c r="C18" s="50" t="s">
        <v>4</v>
      </c>
      <c r="D18" s="166" t="s">
        <v>75</v>
      </c>
      <c r="E18" s="167"/>
      <c r="F18" s="53"/>
      <c r="G18" s="53"/>
      <c r="H18" s="53"/>
      <c r="I18" s="53"/>
      <c r="J18" s="53"/>
      <c r="L18" s="36"/>
      <c r="M18" s="36"/>
      <c r="O18" s="36"/>
      <c r="P18" s="36"/>
    </row>
    <row r="19" spans="1:17" ht="18.75" x14ac:dyDescent="0.25">
      <c r="A19" s="76"/>
      <c r="B19" s="71"/>
      <c r="C19" s="51"/>
      <c r="D19" s="109" t="s">
        <v>47</v>
      </c>
      <c r="E19" s="110" t="s">
        <v>76</v>
      </c>
      <c r="F19" s="214">
        <v>45195</v>
      </c>
      <c r="G19" s="215">
        <v>45198</v>
      </c>
      <c r="H19" s="62" t="s">
        <v>29</v>
      </c>
      <c r="I19" s="62"/>
      <c r="J19" s="54"/>
      <c r="N19" s="1">
        <f t="shared" ref="N19:N32" si="1">SUMIF(H19,B$10,C$10)</f>
        <v>1</v>
      </c>
      <c r="Q19" s="1">
        <f t="shared" si="0"/>
        <v>0</v>
      </c>
    </row>
    <row r="20" spans="1:17" ht="18.75" x14ac:dyDescent="0.25">
      <c r="A20" s="76"/>
      <c r="B20" s="71"/>
      <c r="C20" s="51"/>
      <c r="D20" s="109" t="s">
        <v>48</v>
      </c>
      <c r="E20" s="110" t="s">
        <v>77</v>
      </c>
      <c r="F20" s="54"/>
      <c r="G20" s="59"/>
      <c r="H20" s="62" t="s">
        <v>28</v>
      </c>
      <c r="I20" s="62"/>
      <c r="J20" s="54" t="s">
        <v>166</v>
      </c>
      <c r="N20" s="1">
        <f t="shared" si="1"/>
        <v>0</v>
      </c>
      <c r="Q20" s="1">
        <f t="shared" si="0"/>
        <v>0</v>
      </c>
    </row>
    <row r="21" spans="1:17" ht="18.75" x14ac:dyDescent="0.25">
      <c r="A21" s="76"/>
      <c r="B21" s="71"/>
      <c r="C21" s="51"/>
      <c r="D21" s="109" t="s">
        <v>51</v>
      </c>
      <c r="E21" s="110" t="s">
        <v>78</v>
      </c>
      <c r="F21" s="54"/>
      <c r="G21" s="59"/>
      <c r="H21" s="62" t="s">
        <v>28</v>
      </c>
      <c r="I21" s="62"/>
      <c r="J21" s="54" t="s">
        <v>166</v>
      </c>
      <c r="L21" s="36"/>
      <c r="M21" s="36"/>
      <c r="N21" s="1">
        <f t="shared" si="1"/>
        <v>0</v>
      </c>
      <c r="O21" s="36"/>
      <c r="P21" s="36"/>
      <c r="Q21" s="1">
        <f t="shared" si="0"/>
        <v>0</v>
      </c>
    </row>
    <row r="22" spans="1:17" ht="18.75" x14ac:dyDescent="0.25">
      <c r="A22" s="76"/>
      <c r="B22" s="71"/>
      <c r="C22" s="51"/>
      <c r="D22" s="109" t="s">
        <v>122</v>
      </c>
      <c r="E22" s="110" t="s">
        <v>134</v>
      </c>
      <c r="F22" s="54"/>
      <c r="G22" s="59"/>
      <c r="H22" s="62" t="s">
        <v>28</v>
      </c>
      <c r="I22" s="62"/>
      <c r="J22" s="54" t="s">
        <v>166</v>
      </c>
      <c r="N22" s="1">
        <f t="shared" si="1"/>
        <v>0</v>
      </c>
      <c r="Q22" s="1">
        <f t="shared" si="0"/>
        <v>0</v>
      </c>
    </row>
    <row r="23" spans="1:17" s="36" customFormat="1" ht="33" customHeight="1" x14ac:dyDescent="0.25">
      <c r="A23" s="77" t="s">
        <v>31</v>
      </c>
      <c r="B23" s="71" t="s">
        <v>46</v>
      </c>
      <c r="C23" s="51" t="s">
        <v>5</v>
      </c>
      <c r="D23" s="190" t="s">
        <v>79</v>
      </c>
      <c r="E23" s="191"/>
      <c r="F23" s="54"/>
      <c r="G23" s="59"/>
      <c r="H23" s="62" t="s">
        <v>28</v>
      </c>
      <c r="I23" s="62"/>
      <c r="J23" s="54" t="s">
        <v>166</v>
      </c>
      <c r="L23" s="1"/>
      <c r="M23" s="1"/>
      <c r="N23" s="1">
        <f t="shared" si="1"/>
        <v>0</v>
      </c>
      <c r="O23" s="1"/>
      <c r="P23" s="1"/>
      <c r="Q23" s="1">
        <f t="shared" si="0"/>
        <v>0</v>
      </c>
    </row>
    <row r="24" spans="1:17" ht="33" customHeight="1" x14ac:dyDescent="0.25">
      <c r="A24" s="76" t="s">
        <v>31</v>
      </c>
      <c r="B24" s="70" t="s">
        <v>46</v>
      </c>
      <c r="C24" s="50" t="s">
        <v>6</v>
      </c>
      <c r="D24" s="166" t="s">
        <v>80</v>
      </c>
      <c r="E24" s="167"/>
      <c r="F24" s="53"/>
      <c r="G24" s="58"/>
      <c r="H24" s="61" t="s">
        <v>28</v>
      </c>
      <c r="I24" s="61"/>
      <c r="J24" s="53" t="s">
        <v>166</v>
      </c>
      <c r="L24" s="36"/>
      <c r="M24" s="36"/>
      <c r="N24" s="1">
        <f t="shared" si="1"/>
        <v>0</v>
      </c>
      <c r="O24" s="36"/>
      <c r="P24" s="36"/>
      <c r="Q24" s="1">
        <f t="shared" si="0"/>
        <v>0</v>
      </c>
    </row>
    <row r="25" spans="1:17" s="36" customFormat="1" ht="33" customHeight="1" x14ac:dyDescent="0.25">
      <c r="A25" s="77" t="s">
        <v>31</v>
      </c>
      <c r="B25" s="71" t="s">
        <v>46</v>
      </c>
      <c r="C25" s="51" t="s">
        <v>8</v>
      </c>
      <c r="D25" s="190" t="s">
        <v>81</v>
      </c>
      <c r="E25" s="191"/>
      <c r="F25" s="54"/>
      <c r="G25" s="59"/>
      <c r="H25" s="62" t="s">
        <v>28</v>
      </c>
      <c r="I25" s="62"/>
      <c r="J25" s="54" t="s">
        <v>166</v>
      </c>
      <c r="L25" s="1"/>
      <c r="M25" s="1"/>
      <c r="N25" s="1">
        <f t="shared" si="1"/>
        <v>0</v>
      </c>
      <c r="O25" s="1"/>
      <c r="P25" s="1"/>
      <c r="Q25" s="1">
        <f t="shared" si="0"/>
        <v>0</v>
      </c>
    </row>
    <row r="26" spans="1:17" ht="33" customHeight="1" x14ac:dyDescent="0.25">
      <c r="A26" s="76" t="s">
        <v>31</v>
      </c>
      <c r="B26" s="70" t="s">
        <v>46</v>
      </c>
      <c r="C26" s="50" t="s">
        <v>9</v>
      </c>
      <c r="D26" s="166" t="s">
        <v>123</v>
      </c>
      <c r="E26" s="167"/>
      <c r="F26" s="53"/>
      <c r="G26" s="58"/>
      <c r="H26" s="61" t="s">
        <v>28</v>
      </c>
      <c r="I26" s="61"/>
      <c r="J26" s="53" t="s">
        <v>166</v>
      </c>
      <c r="N26" s="1">
        <f t="shared" si="1"/>
        <v>0</v>
      </c>
      <c r="Q26" s="1">
        <f t="shared" si="0"/>
        <v>0</v>
      </c>
    </row>
    <row r="27" spans="1:17" s="36" customFormat="1" ht="33" customHeight="1" x14ac:dyDescent="0.25">
      <c r="A27" s="77" t="s">
        <v>31</v>
      </c>
      <c r="B27" s="71" t="s">
        <v>46</v>
      </c>
      <c r="C27" s="51" t="s">
        <v>10</v>
      </c>
      <c r="D27" s="190" t="s">
        <v>82</v>
      </c>
      <c r="E27" s="191"/>
      <c r="F27" s="54"/>
      <c r="G27" s="59"/>
      <c r="H27" s="62" t="s">
        <v>28</v>
      </c>
      <c r="I27" s="62"/>
      <c r="J27" s="54" t="s">
        <v>166</v>
      </c>
      <c r="L27" s="1"/>
      <c r="M27" s="1"/>
      <c r="N27" s="1">
        <f t="shared" si="1"/>
        <v>0</v>
      </c>
      <c r="O27" s="1"/>
      <c r="P27" s="1"/>
      <c r="Q27" s="1">
        <f t="shared" si="0"/>
        <v>0</v>
      </c>
    </row>
    <row r="28" spans="1:17" ht="33" customHeight="1" x14ac:dyDescent="0.25">
      <c r="A28" s="76" t="s">
        <v>31</v>
      </c>
      <c r="B28" s="70" t="s">
        <v>46</v>
      </c>
      <c r="C28" s="50" t="s">
        <v>11</v>
      </c>
      <c r="D28" s="166" t="s">
        <v>83</v>
      </c>
      <c r="E28" s="167"/>
      <c r="F28" s="53"/>
      <c r="G28" s="58"/>
      <c r="H28" s="61" t="s">
        <v>28</v>
      </c>
      <c r="I28" s="61"/>
      <c r="J28" s="53" t="s">
        <v>166</v>
      </c>
      <c r="N28" s="1">
        <f t="shared" si="1"/>
        <v>0</v>
      </c>
      <c r="Q28" s="1">
        <f t="shared" si="0"/>
        <v>0</v>
      </c>
    </row>
    <row r="29" spans="1:17" s="36" customFormat="1" ht="33" customHeight="1" x14ac:dyDescent="0.25">
      <c r="A29" s="77" t="s">
        <v>31</v>
      </c>
      <c r="B29" s="71" t="s">
        <v>46</v>
      </c>
      <c r="C29" s="51" t="s">
        <v>12</v>
      </c>
      <c r="D29" s="190" t="s">
        <v>84</v>
      </c>
      <c r="E29" s="191"/>
      <c r="F29" s="54"/>
      <c r="G29" s="59"/>
      <c r="H29" s="62" t="s">
        <v>28</v>
      </c>
      <c r="I29" s="62"/>
      <c r="J29" s="54" t="s">
        <v>166</v>
      </c>
      <c r="L29" s="1"/>
      <c r="M29" s="1"/>
      <c r="N29" s="1">
        <f t="shared" si="1"/>
        <v>0</v>
      </c>
      <c r="O29" s="1"/>
      <c r="P29" s="1"/>
      <c r="Q29" s="1">
        <f t="shared" si="0"/>
        <v>0</v>
      </c>
    </row>
    <row r="30" spans="1:17" s="36" customFormat="1" ht="33" customHeight="1" x14ac:dyDescent="0.25">
      <c r="A30" s="77" t="s">
        <v>31</v>
      </c>
      <c r="B30" s="70" t="s">
        <v>46</v>
      </c>
      <c r="C30" s="50" t="s">
        <v>13</v>
      </c>
      <c r="D30" s="166" t="s">
        <v>107</v>
      </c>
      <c r="E30" s="167"/>
      <c r="F30" s="53"/>
      <c r="G30" s="58"/>
      <c r="H30" s="61" t="s">
        <v>28</v>
      </c>
      <c r="I30" s="61"/>
      <c r="J30" s="53" t="s">
        <v>166</v>
      </c>
      <c r="L30" s="1"/>
      <c r="M30" s="1"/>
      <c r="N30" s="1">
        <f t="shared" si="1"/>
        <v>0</v>
      </c>
      <c r="O30" s="1"/>
      <c r="P30" s="1"/>
      <c r="Q30" s="1">
        <f t="shared" si="0"/>
        <v>0</v>
      </c>
    </row>
    <row r="31" spans="1:17" ht="33.75" customHeight="1" x14ac:dyDescent="0.25">
      <c r="A31" s="76">
        <v>16</v>
      </c>
      <c r="B31" s="71" t="s">
        <v>46</v>
      </c>
      <c r="C31" s="51" t="s">
        <v>14</v>
      </c>
      <c r="D31" s="190" t="s">
        <v>124</v>
      </c>
      <c r="E31" s="191"/>
      <c r="F31" s="54"/>
      <c r="G31" s="59"/>
      <c r="H31" s="62" t="s">
        <v>30</v>
      </c>
      <c r="I31" s="62"/>
      <c r="J31" s="54"/>
      <c r="L31" s="36"/>
      <c r="M31" s="36"/>
      <c r="N31" s="1">
        <f t="shared" si="1"/>
        <v>0</v>
      </c>
      <c r="O31" s="36"/>
      <c r="P31" s="36"/>
      <c r="Q31" s="1">
        <f t="shared" si="0"/>
        <v>1</v>
      </c>
    </row>
    <row r="32" spans="1:17" ht="33.75" customHeight="1" thickBot="1" x14ac:dyDescent="0.3">
      <c r="A32" s="77" t="s">
        <v>31</v>
      </c>
      <c r="B32" s="70" t="s">
        <v>46</v>
      </c>
      <c r="C32" s="50" t="s">
        <v>15</v>
      </c>
      <c r="D32" s="166" t="s">
        <v>162</v>
      </c>
      <c r="E32" s="167"/>
      <c r="F32" s="53"/>
      <c r="G32" s="58"/>
      <c r="H32" s="61" t="s">
        <v>28</v>
      </c>
      <c r="I32" s="61"/>
      <c r="J32" s="53" t="s">
        <v>166</v>
      </c>
      <c r="L32" s="36"/>
      <c r="M32" s="36"/>
      <c r="N32" s="1">
        <f t="shared" si="1"/>
        <v>0</v>
      </c>
      <c r="O32" s="36"/>
      <c r="P32" s="36"/>
    </row>
    <row r="33" spans="1:18" ht="19.5" thickBot="1" x14ac:dyDescent="0.3">
      <c r="A33" s="76"/>
      <c r="B33" s="116"/>
      <c r="C33" s="117"/>
      <c r="D33" s="131"/>
      <c r="E33" s="131"/>
      <c r="F33" s="118"/>
      <c r="G33" s="118"/>
      <c r="H33" s="119"/>
      <c r="I33" s="119"/>
      <c r="J33" s="120"/>
      <c r="N33" s="130">
        <f>SUM(N15:N31)</f>
        <v>1</v>
      </c>
      <c r="Q33" s="130">
        <f t="shared" ref="Q33" si="2">SUM(Q15:Q31)</f>
        <v>1</v>
      </c>
      <c r="R33" s="1">
        <f>+A31-Q33</f>
        <v>15</v>
      </c>
    </row>
    <row r="34" spans="1:18" ht="17.25" x14ac:dyDescent="0.3">
      <c r="A34" s="73"/>
      <c r="B34" s="28" t="s">
        <v>42</v>
      </c>
      <c r="C34" s="21"/>
      <c r="D34" s="21"/>
      <c r="E34" s="22"/>
      <c r="F34" s="22"/>
      <c r="G34" s="22"/>
      <c r="H34" s="23"/>
      <c r="I34" s="23"/>
      <c r="J34" s="24"/>
      <c r="L34" s="36"/>
      <c r="M34" s="36"/>
      <c r="O34" s="36"/>
      <c r="P34" s="36"/>
    </row>
    <row r="35" spans="1:18" ht="15.75" x14ac:dyDescent="0.25">
      <c r="G35" s="132" t="s">
        <v>33</v>
      </c>
      <c r="H35" s="133">
        <f>+N33/R33</f>
        <v>6.6666666666666666E-2</v>
      </c>
      <c r="I35" s="132"/>
    </row>
    <row r="36" spans="1:18" ht="15.75" x14ac:dyDescent="0.25">
      <c r="L36" s="36"/>
      <c r="M36" s="36"/>
      <c r="O36" s="36"/>
      <c r="P36" s="36"/>
    </row>
    <row r="38" spans="1:18" ht="15.75" x14ac:dyDescent="0.25">
      <c r="L38" s="36"/>
      <c r="M38" s="36"/>
      <c r="O38" s="36"/>
      <c r="P38" s="36"/>
    </row>
    <row r="40" spans="1:18" ht="15.75" x14ac:dyDescent="0.25">
      <c r="L40" s="36"/>
      <c r="M40" s="36"/>
      <c r="O40" s="36"/>
      <c r="P40" s="36"/>
    </row>
    <row r="41" spans="1:18" ht="16.5" thickBot="1" x14ac:dyDescent="0.3"/>
    <row r="42" spans="1:18" ht="16.5" thickBot="1" x14ac:dyDescent="0.3">
      <c r="N42" s="130"/>
      <c r="Q42" s="130"/>
    </row>
  </sheetData>
  <mergeCells count="23">
    <mergeCell ref="D28:E28"/>
    <mergeCell ref="I13:I14"/>
    <mergeCell ref="D29:E29"/>
    <mergeCell ref="B13:C14"/>
    <mergeCell ref="D13:E14"/>
    <mergeCell ref="F13:G13"/>
    <mergeCell ref="H13:H14"/>
    <mergeCell ref="D32:E32"/>
    <mergeCell ref="D30:E30"/>
    <mergeCell ref="D31:E31"/>
    <mergeCell ref="D25:E25"/>
    <mergeCell ref="E1:J1"/>
    <mergeCell ref="E2:J2"/>
    <mergeCell ref="E3:J3"/>
    <mergeCell ref="J13:J14"/>
    <mergeCell ref="D15:E15"/>
    <mergeCell ref="D16:E16"/>
    <mergeCell ref="D18:E18"/>
    <mergeCell ref="D23:E23"/>
    <mergeCell ref="D24:E24"/>
    <mergeCell ref="D17:E17"/>
    <mergeCell ref="D26:E26"/>
    <mergeCell ref="D27:E27"/>
  </mergeCells>
  <dataValidations count="1">
    <dataValidation type="list" allowBlank="1" showInputMessage="1" showErrorMessage="1" sqref="H15:I17 H19:I34" xr:uid="{00000000-0002-0000-0100-000000000000}">
      <formula1>$B$9:$B$11</formula1>
    </dataValidation>
  </dataValidations>
  <pageMargins left="0.70866141732283472" right="0.70866141732283472" top="0.49" bottom="0.74803149606299213" header="0.31496062992125984" footer="0.31496062992125984"/>
  <pageSetup paperSize="9" scale="5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61"/>
  <sheetViews>
    <sheetView tabSelected="1" view="pageBreakPreview" topLeftCell="A33" zoomScale="85" zoomScaleNormal="100" zoomScaleSheetLayoutView="85" workbookViewId="0">
      <selection activeCell="J44" sqref="J44"/>
    </sheetView>
  </sheetViews>
  <sheetFormatPr baseColWidth="10" defaultColWidth="11.42578125" defaultRowHeight="15" x14ac:dyDescent="0.25"/>
  <cols>
    <col min="1" max="1" width="2.7109375" style="3" customWidth="1"/>
    <col min="2" max="2" width="3" style="1" customWidth="1"/>
    <col min="3" max="3" width="7" style="2" customWidth="1"/>
    <col min="4" max="4" width="4.140625" style="2" customWidth="1"/>
    <col min="5" max="5" width="45.7109375" style="1" customWidth="1"/>
    <col min="6" max="6" width="14.5703125" style="1" customWidth="1"/>
    <col min="7" max="7" width="15.7109375" style="1" customWidth="1"/>
    <col min="8" max="8" width="13.42578125" style="1" customWidth="1"/>
    <col min="9" max="9" width="14.42578125" style="1" customWidth="1"/>
    <col min="10" max="10" width="49.140625" style="1" customWidth="1"/>
    <col min="12" max="12" width="11.42578125" style="6"/>
    <col min="13" max="13" width="11.42578125" style="1"/>
    <col min="14" max="16" width="11.42578125" style="6"/>
    <col min="17" max="16384" width="11.42578125" style="1"/>
  </cols>
  <sheetData>
    <row r="1" spans="1:17" ht="23.25" x14ac:dyDescent="0.35">
      <c r="B1" s="12"/>
      <c r="C1" s="13"/>
      <c r="D1" s="13"/>
      <c r="E1" s="182" t="s">
        <v>158</v>
      </c>
      <c r="F1" s="182"/>
      <c r="G1" s="182"/>
      <c r="H1" s="182"/>
      <c r="I1" s="182"/>
      <c r="J1" s="183"/>
    </row>
    <row r="2" spans="1:17" ht="23.25" x14ac:dyDescent="0.35">
      <c r="B2" s="4"/>
      <c r="C2" s="5"/>
      <c r="D2" s="5"/>
      <c r="E2" s="184" t="s">
        <v>32</v>
      </c>
      <c r="F2" s="184"/>
      <c r="G2" s="184"/>
      <c r="H2" s="184"/>
      <c r="I2" s="184"/>
      <c r="J2" s="185"/>
    </row>
    <row r="3" spans="1:17" ht="26.25" x14ac:dyDescent="0.4">
      <c r="B3" s="4"/>
      <c r="C3" s="5"/>
      <c r="D3" s="5"/>
      <c r="E3" s="186" t="s">
        <v>53</v>
      </c>
      <c r="F3" s="186"/>
      <c r="G3" s="186"/>
      <c r="H3" s="186"/>
      <c r="I3" s="186"/>
      <c r="J3" s="187"/>
    </row>
    <row r="4" spans="1:17" s="34" customFormat="1" ht="18" thickBot="1" x14ac:dyDescent="0.35">
      <c r="A4" s="29"/>
      <c r="B4" s="30"/>
      <c r="C4" s="25"/>
      <c r="D4" s="25"/>
      <c r="E4" s="31" t="s">
        <v>35</v>
      </c>
      <c r="F4" s="31" t="str">
        <f>+'B- Control Admin-Organizacional'!F4</f>
        <v>TABACALERA MENHURSA S.A.</v>
      </c>
      <c r="G4" s="32"/>
      <c r="H4" s="32"/>
      <c r="I4" s="32"/>
      <c r="J4" s="33"/>
      <c r="L4" s="26"/>
      <c r="N4" s="26"/>
      <c r="O4" s="26"/>
      <c r="P4" s="26"/>
    </row>
    <row r="5" spans="1:17" s="34" customFormat="1" ht="17.25" x14ac:dyDescent="0.3">
      <c r="A5" s="29"/>
      <c r="B5" s="30"/>
      <c r="C5" s="25"/>
      <c r="D5" s="25"/>
      <c r="E5" s="31" t="s">
        <v>36</v>
      </c>
      <c r="F5" s="31" t="str">
        <f>+'B- Control Admin-Organizacional'!F5</f>
        <v>Del 01 de enero a 31 de diciembre del 2023</v>
      </c>
      <c r="G5" s="32"/>
      <c r="H5" s="32"/>
      <c r="I5" s="32"/>
      <c r="J5" s="95" t="s">
        <v>161</v>
      </c>
      <c r="L5" s="26"/>
      <c r="N5" s="26"/>
      <c r="O5" s="26"/>
      <c r="P5" s="26"/>
    </row>
    <row r="6" spans="1:17" s="34" customFormat="1" ht="17.25" x14ac:dyDescent="0.3">
      <c r="A6" s="29"/>
      <c r="B6" s="30"/>
      <c r="C6" s="25"/>
      <c r="D6" s="25"/>
      <c r="E6" s="31" t="s">
        <v>37</v>
      </c>
      <c r="F6" s="31" t="str">
        <f>+'B- Control Admin-Organizacional'!F6</f>
        <v>Kely Balarezo</v>
      </c>
      <c r="G6" s="32"/>
      <c r="H6" s="32" t="s">
        <v>38</v>
      </c>
      <c r="I6" s="160">
        <f>+'B- Control Admin-Organizacional'!I6</f>
        <v>45198</v>
      </c>
      <c r="J6" s="96" t="s">
        <v>43</v>
      </c>
      <c r="L6" s="26"/>
      <c r="N6" s="26"/>
      <c r="O6" s="26"/>
      <c r="P6" s="26"/>
    </row>
    <row r="7" spans="1:17" s="34" customFormat="1" ht="17.25" x14ac:dyDescent="0.3">
      <c r="A7" s="29"/>
      <c r="B7" s="30"/>
      <c r="C7" s="25"/>
      <c r="D7" s="25"/>
      <c r="E7" s="31" t="s">
        <v>105</v>
      </c>
      <c r="F7" s="31" t="str">
        <f>+'B- Control Admin-Organizacional'!F7</f>
        <v>Elizabeth Palacios</v>
      </c>
      <c r="G7" s="32"/>
      <c r="H7" s="32" t="s">
        <v>38</v>
      </c>
      <c r="I7" s="160">
        <f>+I6+3</f>
        <v>45201</v>
      </c>
      <c r="J7" s="97"/>
      <c r="L7" s="26"/>
      <c r="N7" s="26"/>
      <c r="O7" s="26"/>
      <c r="P7" s="26"/>
    </row>
    <row r="8" spans="1:17" ht="17.25" customHeight="1" thickBot="1" x14ac:dyDescent="0.45">
      <c r="B8" s="18" t="s">
        <v>33</v>
      </c>
      <c r="C8" s="5"/>
      <c r="D8" s="5"/>
      <c r="E8" s="14"/>
      <c r="F8" s="108"/>
      <c r="G8" s="14"/>
      <c r="H8" s="14"/>
      <c r="I8" s="94"/>
      <c r="J8" s="151" t="s">
        <v>165</v>
      </c>
    </row>
    <row r="9" spans="1:17" ht="15.75" x14ac:dyDescent="0.25">
      <c r="B9" s="15" t="s">
        <v>28</v>
      </c>
      <c r="C9" s="5"/>
      <c r="D9" s="46" t="s">
        <v>39</v>
      </c>
      <c r="E9" s="6"/>
      <c r="F9" s="6"/>
      <c r="G9" s="6"/>
      <c r="H9" s="6"/>
      <c r="I9" s="6"/>
      <c r="J9" s="98"/>
    </row>
    <row r="10" spans="1:17" ht="15.75" x14ac:dyDescent="0.25">
      <c r="B10" s="16" t="s">
        <v>29</v>
      </c>
      <c r="C10" s="129">
        <v>1</v>
      </c>
      <c r="D10" s="46" t="s">
        <v>40</v>
      </c>
      <c r="E10" s="6"/>
      <c r="F10" s="155" t="s">
        <v>156</v>
      </c>
      <c r="G10" s="6"/>
      <c r="H10" s="6"/>
      <c r="I10" s="6"/>
      <c r="J10" s="6"/>
    </row>
    <row r="11" spans="1:17" ht="16.5" thickBot="1" x14ac:dyDescent="0.3">
      <c r="B11" s="17" t="s">
        <v>30</v>
      </c>
      <c r="C11" s="7"/>
      <c r="D11" s="47" t="s">
        <v>41</v>
      </c>
      <c r="E11" s="8"/>
      <c r="F11" s="47" t="s">
        <v>155</v>
      </c>
      <c r="G11" s="8"/>
      <c r="H11" s="8"/>
      <c r="I11" s="8"/>
      <c r="J11" s="9"/>
    </row>
    <row r="12" spans="1:17" ht="16.5" thickBot="1" x14ac:dyDescent="0.3">
      <c r="B12" s="4"/>
      <c r="C12" s="5"/>
      <c r="D12" s="5"/>
      <c r="E12" s="6"/>
      <c r="F12" s="6"/>
      <c r="G12" s="6"/>
      <c r="H12" s="6"/>
      <c r="I12" s="6"/>
      <c r="J12" s="75"/>
    </row>
    <row r="13" spans="1:17" ht="16.5" thickBot="1" x14ac:dyDescent="0.3">
      <c r="B13" s="176" t="s">
        <v>22</v>
      </c>
      <c r="C13" s="204"/>
      <c r="D13" s="180" t="s">
        <v>23</v>
      </c>
      <c r="E13" s="180"/>
      <c r="F13" s="206" t="s">
        <v>26</v>
      </c>
      <c r="G13" s="207"/>
      <c r="H13" s="174" t="s">
        <v>157</v>
      </c>
      <c r="I13" s="208" t="s">
        <v>24</v>
      </c>
      <c r="J13" s="210" t="s">
        <v>25</v>
      </c>
    </row>
    <row r="14" spans="1:17" ht="32.25" thickBot="1" x14ac:dyDescent="0.3">
      <c r="B14" s="178"/>
      <c r="C14" s="205"/>
      <c r="D14" s="181"/>
      <c r="E14" s="181"/>
      <c r="F14" s="64" t="s">
        <v>27</v>
      </c>
      <c r="G14" s="68" t="s">
        <v>104</v>
      </c>
      <c r="H14" s="175"/>
      <c r="I14" s="209"/>
      <c r="J14" s="211"/>
      <c r="M14" s="1" t="s">
        <v>140</v>
      </c>
      <c r="Q14" s="1" t="s">
        <v>30</v>
      </c>
    </row>
    <row r="15" spans="1:17" ht="33" x14ac:dyDescent="0.25">
      <c r="A15" s="11" t="s">
        <v>31</v>
      </c>
      <c r="B15" s="82" t="s">
        <v>52</v>
      </c>
      <c r="C15" s="83" t="s">
        <v>1</v>
      </c>
      <c r="D15" s="212" t="s">
        <v>85</v>
      </c>
      <c r="E15" s="213"/>
      <c r="F15" s="65"/>
      <c r="G15" s="52"/>
      <c r="H15" s="40" t="s">
        <v>28</v>
      </c>
      <c r="I15" s="43"/>
      <c r="J15" s="78" t="s">
        <v>166</v>
      </c>
      <c r="M15" s="1">
        <f>SUMIF(H15,B$10,C$10)</f>
        <v>0</v>
      </c>
      <c r="Q15" s="1">
        <f>SUMIF(H15,B$11,C$10)</f>
        <v>0</v>
      </c>
    </row>
    <row r="16" spans="1:17" s="36" customFormat="1" ht="33" x14ac:dyDescent="0.25">
      <c r="A16" s="35" t="s">
        <v>31</v>
      </c>
      <c r="B16" s="84" t="s">
        <v>52</v>
      </c>
      <c r="C16" s="85" t="s">
        <v>2</v>
      </c>
      <c r="D16" s="201" t="s">
        <v>98</v>
      </c>
      <c r="E16" s="200"/>
      <c r="F16" s="66"/>
      <c r="G16" s="53"/>
      <c r="H16" s="41" t="s">
        <v>28</v>
      </c>
      <c r="I16" s="44"/>
      <c r="J16" s="79" t="s">
        <v>166</v>
      </c>
      <c r="L16" s="134"/>
      <c r="M16" s="1">
        <f>SUMIF(H16,B$10,C$10)</f>
        <v>0</v>
      </c>
      <c r="N16" s="134"/>
      <c r="O16" s="134"/>
      <c r="P16" s="134"/>
      <c r="Q16" s="1">
        <f t="shared" ref="Q16:Q46" si="0">SUMIF(H16,B$11,C$10)</f>
        <v>0</v>
      </c>
    </row>
    <row r="17" spans="1:18" ht="33" x14ac:dyDescent="0.25">
      <c r="A17" s="11" t="s">
        <v>31</v>
      </c>
      <c r="B17" s="86" t="s">
        <v>52</v>
      </c>
      <c r="C17" s="87" t="s">
        <v>3</v>
      </c>
      <c r="D17" s="195" t="s">
        <v>86</v>
      </c>
      <c r="E17" s="196"/>
      <c r="F17" s="78"/>
      <c r="G17" s="78"/>
      <c r="H17" s="157"/>
      <c r="I17" s="157"/>
      <c r="J17" s="80"/>
      <c r="R17" s="36"/>
    </row>
    <row r="18" spans="1:18" ht="18.75" x14ac:dyDescent="0.25">
      <c r="A18" s="11"/>
      <c r="B18" s="86"/>
      <c r="C18" s="87"/>
      <c r="D18" s="88" t="s">
        <v>47</v>
      </c>
      <c r="E18" s="115" t="s">
        <v>87</v>
      </c>
      <c r="F18" s="67"/>
      <c r="G18" s="54"/>
      <c r="H18" s="42" t="s">
        <v>28</v>
      </c>
      <c r="I18" s="45"/>
      <c r="J18" s="80" t="s">
        <v>166</v>
      </c>
      <c r="L18" s="134"/>
      <c r="M18" s="1">
        <f>SUMIF(H18,B$10,C$10)</f>
        <v>0</v>
      </c>
      <c r="N18" s="134"/>
      <c r="O18" s="134"/>
      <c r="P18" s="134"/>
      <c r="Q18" s="1">
        <f t="shared" si="0"/>
        <v>0</v>
      </c>
    </row>
    <row r="19" spans="1:18" ht="18.75" x14ac:dyDescent="0.25">
      <c r="A19" s="11"/>
      <c r="B19" s="86"/>
      <c r="C19" s="87"/>
      <c r="D19" s="88" t="s">
        <v>48</v>
      </c>
      <c r="E19" s="115" t="s">
        <v>88</v>
      </c>
      <c r="F19" s="67"/>
      <c r="G19" s="54"/>
      <c r="H19" s="42" t="s">
        <v>28</v>
      </c>
      <c r="I19" s="45"/>
      <c r="J19" s="80" t="s">
        <v>166</v>
      </c>
      <c r="M19" s="1">
        <f>SUMIF(H19,B$10,C$10)</f>
        <v>0</v>
      </c>
      <c r="Q19" s="1">
        <f t="shared" si="0"/>
        <v>0</v>
      </c>
    </row>
    <row r="20" spans="1:18" ht="37.5" x14ac:dyDescent="0.25">
      <c r="A20" s="11"/>
      <c r="B20" s="86"/>
      <c r="C20" s="87"/>
      <c r="D20" s="88" t="s">
        <v>51</v>
      </c>
      <c r="E20" s="115" t="s">
        <v>89</v>
      </c>
      <c r="F20" s="67"/>
      <c r="G20" s="54"/>
      <c r="H20" s="42" t="s">
        <v>28</v>
      </c>
      <c r="I20" s="45"/>
      <c r="J20" s="80" t="s">
        <v>166</v>
      </c>
      <c r="M20" s="1">
        <f>SUMIF(H20,B$10,C$10)</f>
        <v>0</v>
      </c>
      <c r="Q20" s="1">
        <f t="shared" si="0"/>
        <v>0</v>
      </c>
    </row>
    <row r="21" spans="1:18" s="36" customFormat="1" ht="33" x14ac:dyDescent="0.25">
      <c r="A21" s="35" t="s">
        <v>31</v>
      </c>
      <c r="B21" s="84" t="s">
        <v>52</v>
      </c>
      <c r="C21" s="85" t="s">
        <v>4</v>
      </c>
      <c r="D21" s="201" t="s">
        <v>90</v>
      </c>
      <c r="E21" s="200"/>
      <c r="F21" s="66"/>
      <c r="G21" s="53"/>
      <c r="H21" s="41" t="s">
        <v>28</v>
      </c>
      <c r="I21" s="44"/>
      <c r="J21" s="79" t="s">
        <v>166</v>
      </c>
      <c r="L21" s="134"/>
      <c r="M21" s="1">
        <f>SUMIF(H21,B$10,C$10)</f>
        <v>0</v>
      </c>
      <c r="N21" s="134"/>
      <c r="O21" s="134"/>
      <c r="P21" s="134"/>
      <c r="Q21" s="1">
        <f t="shared" si="0"/>
        <v>0</v>
      </c>
      <c r="R21" s="1"/>
    </row>
    <row r="22" spans="1:18" ht="33" x14ac:dyDescent="0.25">
      <c r="A22" s="11" t="s">
        <v>31</v>
      </c>
      <c r="B22" s="86" t="s">
        <v>52</v>
      </c>
      <c r="C22" s="87" t="s">
        <v>5</v>
      </c>
      <c r="D22" s="195" t="s">
        <v>91</v>
      </c>
      <c r="E22" s="196"/>
      <c r="F22" s="216">
        <v>45156</v>
      </c>
      <c r="G22" s="214">
        <v>45198</v>
      </c>
      <c r="H22" s="42" t="s">
        <v>29</v>
      </c>
      <c r="I22" s="45"/>
      <c r="J22" s="80"/>
      <c r="M22" s="1">
        <f>SUMIF(H22,B$10,C$10)</f>
        <v>1</v>
      </c>
      <c r="Q22" s="1">
        <f t="shared" si="0"/>
        <v>0</v>
      </c>
    </row>
    <row r="23" spans="1:18" s="36" customFormat="1" ht="33" x14ac:dyDescent="0.25">
      <c r="A23" s="35" t="s">
        <v>31</v>
      </c>
      <c r="B23" s="84" t="s">
        <v>52</v>
      </c>
      <c r="C23" s="85" t="s">
        <v>6</v>
      </c>
      <c r="D23" s="202" t="s">
        <v>92</v>
      </c>
      <c r="E23" s="203"/>
      <c r="F23" s="78"/>
      <c r="G23" s="78"/>
      <c r="H23" s="157"/>
      <c r="I23" s="157"/>
      <c r="J23" s="79"/>
      <c r="L23" s="6"/>
      <c r="M23" s="1"/>
      <c r="N23" s="6"/>
      <c r="O23" s="6"/>
      <c r="P23" s="6"/>
      <c r="Q23" s="1"/>
    </row>
    <row r="24" spans="1:18" ht="33" x14ac:dyDescent="0.25">
      <c r="A24" s="11" t="s">
        <v>31</v>
      </c>
      <c r="B24" s="86"/>
      <c r="C24" s="87"/>
      <c r="D24" s="89" t="s">
        <v>49</v>
      </c>
      <c r="E24" s="90" t="s">
        <v>93</v>
      </c>
      <c r="F24" s="216">
        <v>45195</v>
      </c>
      <c r="G24" s="214">
        <v>45198</v>
      </c>
      <c r="H24" s="42" t="s">
        <v>29</v>
      </c>
      <c r="I24" s="45"/>
      <c r="J24" s="80"/>
      <c r="L24" s="134"/>
      <c r="M24" s="1">
        <f>SUMIF(H24,B$10,C$10)</f>
        <v>1</v>
      </c>
      <c r="N24" s="134"/>
      <c r="O24" s="134"/>
      <c r="P24" s="134"/>
      <c r="Q24" s="1">
        <f t="shared" si="0"/>
        <v>0</v>
      </c>
    </row>
    <row r="25" spans="1:18" ht="18.75" x14ac:dyDescent="0.25">
      <c r="A25" s="11"/>
      <c r="B25" s="86"/>
      <c r="C25" s="87"/>
      <c r="D25" s="91" t="s">
        <v>50</v>
      </c>
      <c r="E25" s="92" t="s">
        <v>94</v>
      </c>
      <c r="F25" s="216">
        <v>45195</v>
      </c>
      <c r="G25" s="214">
        <v>45198</v>
      </c>
      <c r="H25" s="42" t="s">
        <v>29</v>
      </c>
      <c r="I25" s="45"/>
      <c r="J25" s="80"/>
      <c r="M25" s="1">
        <f>SUMIF(H25,B$10,C$10)</f>
        <v>1</v>
      </c>
      <c r="Q25" s="1">
        <f t="shared" si="0"/>
        <v>0</v>
      </c>
      <c r="R25" s="36"/>
    </row>
    <row r="26" spans="1:18" ht="18.75" x14ac:dyDescent="0.25">
      <c r="A26" s="11"/>
      <c r="B26" s="86"/>
      <c r="C26" s="87"/>
      <c r="D26" s="91" t="s">
        <v>54</v>
      </c>
      <c r="E26" s="92" t="s">
        <v>95</v>
      </c>
      <c r="F26" s="216">
        <v>45195</v>
      </c>
      <c r="G26" s="214">
        <v>45198</v>
      </c>
      <c r="H26" s="42" t="s">
        <v>29</v>
      </c>
      <c r="I26" s="45"/>
      <c r="J26" s="80"/>
      <c r="M26" s="1">
        <f>SUMIF(H26,B$10,C$10)</f>
        <v>1</v>
      </c>
      <c r="Q26" s="1">
        <f t="shared" si="0"/>
        <v>0</v>
      </c>
    </row>
    <row r="27" spans="1:18" ht="37.5" x14ac:dyDescent="0.25">
      <c r="A27" s="11" t="s">
        <v>31</v>
      </c>
      <c r="B27" s="86"/>
      <c r="C27" s="87"/>
      <c r="D27" s="91" t="s">
        <v>55</v>
      </c>
      <c r="E27" s="93" t="s">
        <v>96</v>
      </c>
      <c r="F27" s="216">
        <v>45163</v>
      </c>
      <c r="G27" s="214">
        <v>45198</v>
      </c>
      <c r="H27" s="42" t="s">
        <v>29</v>
      </c>
      <c r="I27" s="45"/>
      <c r="J27" s="80"/>
      <c r="M27" s="1">
        <f>SUMIF(H27,B$10,C$10)</f>
        <v>1</v>
      </c>
      <c r="Q27" s="1">
        <f t="shared" si="0"/>
        <v>0</v>
      </c>
      <c r="R27" s="36"/>
    </row>
    <row r="28" spans="1:18" s="36" customFormat="1" ht="33" x14ac:dyDescent="0.25">
      <c r="A28" s="35" t="s">
        <v>31</v>
      </c>
      <c r="B28" s="84" t="s">
        <v>52</v>
      </c>
      <c r="C28" s="85" t="s">
        <v>8</v>
      </c>
      <c r="D28" s="199" t="s">
        <v>56</v>
      </c>
      <c r="E28" s="200"/>
      <c r="F28" s="78"/>
      <c r="G28" s="78"/>
      <c r="H28" s="157"/>
      <c r="I28" s="157"/>
      <c r="J28" s="79"/>
      <c r="L28" s="6"/>
      <c r="M28" s="1"/>
      <c r="N28" s="6"/>
      <c r="O28" s="6"/>
      <c r="P28" s="6"/>
      <c r="Q28" s="1"/>
      <c r="R28" s="1"/>
    </row>
    <row r="29" spans="1:18" s="36" customFormat="1" ht="18.75" x14ac:dyDescent="0.25">
      <c r="A29" s="35"/>
      <c r="B29" s="84"/>
      <c r="C29" s="85"/>
      <c r="D29" s="112" t="s">
        <v>49</v>
      </c>
      <c r="E29" s="113" t="s">
        <v>93</v>
      </c>
      <c r="F29" s="66"/>
      <c r="G29" s="53"/>
      <c r="H29" s="41" t="s">
        <v>28</v>
      </c>
      <c r="I29" s="44"/>
      <c r="J29" s="79" t="s">
        <v>166</v>
      </c>
      <c r="L29" s="6"/>
      <c r="M29" s="1">
        <f t="shared" ref="M29:M34" si="1">SUMIF(H29,B$10,C$10)</f>
        <v>0</v>
      </c>
      <c r="N29" s="6"/>
      <c r="O29" s="6"/>
      <c r="P29" s="6"/>
      <c r="Q29" s="1">
        <f t="shared" si="0"/>
        <v>0</v>
      </c>
    </row>
    <row r="30" spans="1:18" s="36" customFormat="1" ht="18.75" x14ac:dyDescent="0.25">
      <c r="A30" s="35"/>
      <c r="B30" s="84"/>
      <c r="C30" s="85"/>
      <c r="D30" s="112" t="s">
        <v>50</v>
      </c>
      <c r="E30" s="113" t="s">
        <v>94</v>
      </c>
      <c r="F30" s="66"/>
      <c r="G30" s="53"/>
      <c r="H30" s="41" t="s">
        <v>28</v>
      </c>
      <c r="I30" s="44"/>
      <c r="J30" s="79" t="s">
        <v>166</v>
      </c>
      <c r="L30" s="6"/>
      <c r="M30" s="1">
        <f t="shared" si="1"/>
        <v>0</v>
      </c>
      <c r="N30" s="6"/>
      <c r="O30" s="6"/>
      <c r="P30" s="6"/>
      <c r="Q30" s="1">
        <f t="shared" si="0"/>
        <v>0</v>
      </c>
    </row>
    <row r="31" spans="1:18" s="36" customFormat="1" ht="18.75" x14ac:dyDescent="0.25">
      <c r="A31" s="35"/>
      <c r="B31" s="84"/>
      <c r="C31" s="85"/>
      <c r="D31" s="112" t="s">
        <v>54</v>
      </c>
      <c r="E31" s="113" t="s">
        <v>95</v>
      </c>
      <c r="F31" s="66"/>
      <c r="G31" s="53"/>
      <c r="H31" s="41" t="s">
        <v>28</v>
      </c>
      <c r="I31" s="44"/>
      <c r="J31" s="79" t="s">
        <v>166</v>
      </c>
      <c r="L31" s="134"/>
      <c r="M31" s="1">
        <f t="shared" si="1"/>
        <v>0</v>
      </c>
      <c r="N31" s="134"/>
      <c r="O31" s="134"/>
      <c r="P31" s="134"/>
      <c r="Q31" s="1">
        <f t="shared" si="0"/>
        <v>0</v>
      </c>
      <c r="R31" s="1"/>
    </row>
    <row r="32" spans="1:18" s="36" customFormat="1" ht="18.75" x14ac:dyDescent="0.25">
      <c r="A32" s="35"/>
      <c r="B32" s="84"/>
      <c r="C32" s="85"/>
      <c r="D32" s="112" t="s">
        <v>55</v>
      </c>
      <c r="E32" s="113" t="s">
        <v>106</v>
      </c>
      <c r="F32" s="66"/>
      <c r="G32" s="53"/>
      <c r="H32" s="41" t="s">
        <v>28</v>
      </c>
      <c r="I32" s="44"/>
      <c r="J32" s="79" t="s">
        <v>166</v>
      </c>
      <c r="L32" s="6"/>
      <c r="M32" s="1">
        <f t="shared" si="1"/>
        <v>0</v>
      </c>
      <c r="N32" s="6"/>
      <c r="O32" s="6"/>
      <c r="P32" s="6"/>
      <c r="Q32" s="1">
        <f t="shared" si="0"/>
        <v>0</v>
      </c>
      <c r="R32" s="1"/>
    </row>
    <row r="33" spans="1:18" ht="33" x14ac:dyDescent="0.25">
      <c r="A33" s="11" t="s">
        <v>31</v>
      </c>
      <c r="B33" s="86" t="s">
        <v>52</v>
      </c>
      <c r="C33" s="87" t="s">
        <v>9</v>
      </c>
      <c r="D33" s="195" t="s">
        <v>97</v>
      </c>
      <c r="E33" s="196"/>
      <c r="F33" s="216">
        <v>44926</v>
      </c>
      <c r="G33" s="214">
        <v>45198</v>
      </c>
      <c r="H33" s="42" t="s">
        <v>29</v>
      </c>
      <c r="I33" s="45"/>
      <c r="J33" s="80"/>
      <c r="L33" s="134"/>
      <c r="M33" s="1">
        <f t="shared" si="1"/>
        <v>1</v>
      </c>
      <c r="N33" s="134"/>
      <c r="O33" s="134"/>
      <c r="P33" s="134"/>
      <c r="Q33" s="1">
        <f t="shared" si="0"/>
        <v>0</v>
      </c>
    </row>
    <row r="34" spans="1:18" s="36" customFormat="1" ht="33" x14ac:dyDescent="0.25">
      <c r="A34" s="35" t="s">
        <v>31</v>
      </c>
      <c r="B34" s="84" t="s">
        <v>52</v>
      </c>
      <c r="C34" s="85" t="s">
        <v>10</v>
      </c>
      <c r="D34" s="201" t="s">
        <v>125</v>
      </c>
      <c r="E34" s="200"/>
      <c r="F34" s="66"/>
      <c r="G34" s="53"/>
      <c r="H34" s="41" t="s">
        <v>28</v>
      </c>
      <c r="I34" s="44"/>
      <c r="J34" s="79" t="s">
        <v>166</v>
      </c>
      <c r="L34" s="6"/>
      <c r="M34" s="1">
        <f t="shared" si="1"/>
        <v>0</v>
      </c>
      <c r="N34" s="6"/>
      <c r="O34" s="6"/>
      <c r="P34" s="6"/>
      <c r="Q34" s="1">
        <f t="shared" si="0"/>
        <v>0</v>
      </c>
      <c r="R34" s="1"/>
    </row>
    <row r="35" spans="1:18" s="36" customFormat="1" ht="33" customHeight="1" x14ac:dyDescent="0.25">
      <c r="A35" s="35" t="s">
        <v>31</v>
      </c>
      <c r="B35" s="86" t="s">
        <v>52</v>
      </c>
      <c r="C35" s="87" t="s">
        <v>11</v>
      </c>
      <c r="D35" s="195" t="s">
        <v>99</v>
      </c>
      <c r="E35" s="196"/>
      <c r="F35" s="78"/>
      <c r="G35" s="78"/>
      <c r="H35" s="157"/>
      <c r="I35" s="157"/>
      <c r="J35" s="80"/>
      <c r="L35" s="134"/>
      <c r="M35" s="1"/>
      <c r="N35" s="134"/>
      <c r="O35" s="134"/>
      <c r="P35" s="134"/>
      <c r="Q35" s="1"/>
      <c r="R35" s="1"/>
    </row>
    <row r="36" spans="1:18" s="36" customFormat="1" ht="18.75" x14ac:dyDescent="0.25">
      <c r="A36" s="35"/>
      <c r="B36" s="86"/>
      <c r="C36" s="87"/>
      <c r="D36" s="89" t="s">
        <v>49</v>
      </c>
      <c r="E36" s="90" t="s">
        <v>100</v>
      </c>
      <c r="F36" s="216">
        <v>45168</v>
      </c>
      <c r="G36" s="214">
        <v>45198</v>
      </c>
      <c r="H36" s="42" t="s">
        <v>29</v>
      </c>
      <c r="I36" s="45"/>
      <c r="J36" s="80"/>
      <c r="L36" s="6"/>
      <c r="M36" s="1">
        <f>SUMIF(H36,B$10,C$10)</f>
        <v>1</v>
      </c>
      <c r="N36" s="6"/>
      <c r="O36" s="6"/>
      <c r="P36" s="6"/>
      <c r="Q36" s="1">
        <f t="shared" si="0"/>
        <v>0</v>
      </c>
      <c r="R36" s="1"/>
    </row>
    <row r="37" spans="1:18" s="36" customFormat="1" ht="18.75" x14ac:dyDescent="0.25">
      <c r="A37" s="35"/>
      <c r="B37" s="86"/>
      <c r="C37" s="87"/>
      <c r="D37" s="91" t="s">
        <v>50</v>
      </c>
      <c r="E37" s="92" t="s">
        <v>101</v>
      </c>
      <c r="F37" s="216">
        <v>45168</v>
      </c>
      <c r="G37" s="214">
        <v>45198</v>
      </c>
      <c r="H37" s="42" t="s">
        <v>29</v>
      </c>
      <c r="I37" s="45"/>
      <c r="J37" s="80"/>
      <c r="L37" s="134"/>
      <c r="M37" s="1">
        <f>SUMIF(H37,B$10,C$10)</f>
        <v>1</v>
      </c>
      <c r="N37" s="134"/>
      <c r="O37" s="134"/>
      <c r="P37" s="134"/>
      <c r="Q37" s="1">
        <f t="shared" si="0"/>
        <v>0</v>
      </c>
      <c r="R37" s="1"/>
    </row>
    <row r="38" spans="1:18" s="36" customFormat="1" ht="18.75" x14ac:dyDescent="0.25">
      <c r="A38" s="35"/>
      <c r="B38" s="86"/>
      <c r="C38" s="87"/>
      <c r="D38" s="91" t="s">
        <v>54</v>
      </c>
      <c r="E38" s="92" t="s">
        <v>102</v>
      </c>
      <c r="F38" s="216">
        <v>45168</v>
      </c>
      <c r="G38" s="214">
        <v>45198</v>
      </c>
      <c r="H38" s="42" t="s">
        <v>29</v>
      </c>
      <c r="I38" s="45"/>
      <c r="J38" s="80"/>
      <c r="L38" s="6"/>
      <c r="M38" s="1">
        <f>SUMIF(H38,B$10,C$10)</f>
        <v>1</v>
      </c>
      <c r="N38" s="6"/>
      <c r="O38" s="6"/>
      <c r="P38" s="6"/>
      <c r="Q38" s="1">
        <f t="shared" si="0"/>
        <v>0</v>
      </c>
      <c r="R38" s="1"/>
    </row>
    <row r="39" spans="1:18" ht="33" customHeight="1" x14ac:dyDescent="0.25">
      <c r="A39" s="11" t="s">
        <v>31</v>
      </c>
      <c r="B39" s="84" t="s">
        <v>52</v>
      </c>
      <c r="C39" s="85" t="s">
        <v>12</v>
      </c>
      <c r="D39" s="201" t="s">
        <v>126</v>
      </c>
      <c r="E39" s="200"/>
      <c r="F39" s="78"/>
      <c r="G39" s="78"/>
      <c r="H39" s="157"/>
      <c r="I39" s="157"/>
      <c r="J39" s="79"/>
      <c r="L39" s="134"/>
      <c r="N39" s="134"/>
      <c r="O39" s="134"/>
      <c r="P39" s="134"/>
    </row>
    <row r="40" spans="1:18" ht="18.75" x14ac:dyDescent="0.25">
      <c r="A40" s="11"/>
      <c r="B40" s="86"/>
      <c r="C40" s="87"/>
      <c r="D40" s="114" t="s">
        <v>49</v>
      </c>
      <c r="E40" s="115" t="s">
        <v>127</v>
      </c>
      <c r="F40" s="67"/>
      <c r="G40" s="54"/>
      <c r="H40" s="42" t="s">
        <v>28</v>
      </c>
      <c r="I40" s="45"/>
      <c r="J40" s="80" t="s">
        <v>166</v>
      </c>
      <c r="M40" s="1">
        <f>SUMIF(H40,B$10,C$10)</f>
        <v>0</v>
      </c>
      <c r="Q40" s="1">
        <f t="shared" si="0"/>
        <v>0</v>
      </c>
    </row>
    <row r="41" spans="1:18" ht="18.75" x14ac:dyDescent="0.25">
      <c r="A41" s="11"/>
      <c r="B41" s="86"/>
      <c r="C41" s="87"/>
      <c r="D41" s="114" t="s">
        <v>50</v>
      </c>
      <c r="E41" s="115" t="s">
        <v>128</v>
      </c>
      <c r="F41" s="67"/>
      <c r="G41" s="54"/>
      <c r="H41" s="42" t="s">
        <v>28</v>
      </c>
      <c r="I41" s="45"/>
      <c r="J41" s="80" t="s">
        <v>166</v>
      </c>
      <c r="M41" s="1">
        <f>SUMIF(H41,B$10,C$10)</f>
        <v>0</v>
      </c>
      <c r="Q41" s="1">
        <f t="shared" si="0"/>
        <v>0</v>
      </c>
    </row>
    <row r="42" spans="1:18" ht="18.75" x14ac:dyDescent="0.25">
      <c r="A42" s="11"/>
      <c r="B42" s="86"/>
      <c r="C42" s="87"/>
      <c r="D42" s="114" t="s">
        <v>54</v>
      </c>
      <c r="E42" s="115" t="s">
        <v>103</v>
      </c>
      <c r="F42" s="67"/>
      <c r="G42" s="54"/>
      <c r="H42" s="42" t="s">
        <v>28</v>
      </c>
      <c r="I42" s="45"/>
      <c r="J42" s="80" t="s">
        <v>166</v>
      </c>
      <c r="M42" s="1">
        <f>SUMIF(H42,B$10,C$10)</f>
        <v>0</v>
      </c>
      <c r="Q42" s="1">
        <f t="shared" si="0"/>
        <v>0</v>
      </c>
    </row>
    <row r="43" spans="1:18" ht="19.5" thickBot="1" x14ac:dyDescent="0.3">
      <c r="A43" s="11"/>
      <c r="B43" s="81"/>
      <c r="C43" s="38"/>
      <c r="D43" s="114" t="s">
        <v>55</v>
      </c>
      <c r="E43" s="115" t="s">
        <v>129</v>
      </c>
      <c r="F43" s="67"/>
      <c r="G43" s="54"/>
      <c r="H43" s="42" t="s">
        <v>28</v>
      </c>
      <c r="I43" s="45"/>
      <c r="J43" s="80" t="s">
        <v>166</v>
      </c>
      <c r="M43" s="1">
        <f>SUMIF(H43,B$10,C$10)</f>
        <v>0</v>
      </c>
      <c r="Q43" s="1">
        <f t="shared" si="0"/>
        <v>0</v>
      </c>
    </row>
    <row r="44" spans="1:18" s="36" customFormat="1" ht="33" customHeight="1" x14ac:dyDescent="0.25">
      <c r="A44" s="35" t="s">
        <v>31</v>
      </c>
      <c r="B44" s="86" t="s">
        <v>52</v>
      </c>
      <c r="C44" s="87" t="s">
        <v>135</v>
      </c>
      <c r="D44" s="195" t="s">
        <v>137</v>
      </c>
      <c r="E44" s="196"/>
      <c r="F44" s="78"/>
      <c r="G44" s="78"/>
      <c r="H44" s="157"/>
      <c r="I44" s="157"/>
      <c r="J44" s="80"/>
      <c r="L44" s="6"/>
      <c r="M44" s="1"/>
      <c r="N44" s="6"/>
      <c r="O44" s="6"/>
      <c r="P44" s="6"/>
      <c r="Q44" s="1"/>
      <c r="R44" s="1"/>
    </row>
    <row r="45" spans="1:18" s="36" customFormat="1" ht="18.75" x14ac:dyDescent="0.25">
      <c r="A45" s="35"/>
      <c r="B45" s="86"/>
      <c r="C45" s="87"/>
      <c r="D45" s="89" t="s">
        <v>49</v>
      </c>
      <c r="E45" s="90" t="s">
        <v>136</v>
      </c>
      <c r="F45" s="67"/>
      <c r="G45" s="54"/>
      <c r="H45" s="42" t="s">
        <v>30</v>
      </c>
      <c r="I45" s="45"/>
      <c r="J45" s="80"/>
      <c r="L45" s="6"/>
      <c r="M45" s="1">
        <f>SUMIF(H45,B$10,C$10)</f>
        <v>0</v>
      </c>
      <c r="N45" s="6"/>
      <c r="O45" s="6"/>
      <c r="P45" s="6"/>
      <c r="Q45" s="1">
        <f t="shared" si="0"/>
        <v>1</v>
      </c>
      <c r="R45" s="1"/>
    </row>
    <row r="46" spans="1:18" s="36" customFormat="1" ht="33.75" thickBot="1" x14ac:dyDescent="0.3">
      <c r="A46" s="135">
        <v>26</v>
      </c>
      <c r="B46" s="121"/>
      <c r="C46" s="122"/>
      <c r="D46" s="123" t="s">
        <v>50</v>
      </c>
      <c r="E46" s="124" t="s">
        <v>138</v>
      </c>
      <c r="F46" s="125"/>
      <c r="G46" s="55"/>
      <c r="H46" s="126" t="s">
        <v>30</v>
      </c>
      <c r="I46" s="127"/>
      <c r="J46" s="128"/>
      <c r="L46" s="6"/>
      <c r="M46" s="1">
        <f>SUMIF(H46,B$10,C$10)</f>
        <v>0</v>
      </c>
      <c r="N46" s="6"/>
      <c r="O46" s="6"/>
      <c r="P46" s="6"/>
      <c r="Q46" s="1">
        <f t="shared" si="0"/>
        <v>1</v>
      </c>
      <c r="R46" s="1"/>
    </row>
    <row r="47" spans="1:18" ht="18" thickBot="1" x14ac:dyDescent="0.35">
      <c r="B47" s="37" t="s">
        <v>42</v>
      </c>
      <c r="C47" s="25"/>
      <c r="D47" s="25"/>
      <c r="E47" s="26"/>
      <c r="F47" s="26"/>
      <c r="G47" s="26"/>
      <c r="H47" s="27"/>
      <c r="I47" s="27"/>
      <c r="J47" s="136"/>
      <c r="M47" s="130">
        <f>SUM(M15:M46)</f>
        <v>9</v>
      </c>
      <c r="Q47" s="130">
        <f>SUM(Q15:Q46)</f>
        <v>2</v>
      </c>
      <c r="R47" s="158">
        <f>+A46-Q47</f>
        <v>24</v>
      </c>
    </row>
    <row r="48" spans="1:18" ht="15.75" x14ac:dyDescent="0.25">
      <c r="F48" s="197" t="s">
        <v>143</v>
      </c>
      <c r="G48" s="197"/>
      <c r="H48" s="133">
        <f>+'A- Control Info Societaria'!H47</f>
        <v>0.45</v>
      </c>
      <c r="I48" s="138" t="s">
        <v>150</v>
      </c>
      <c r="J48" s="139" t="s">
        <v>146</v>
      </c>
    </row>
    <row r="49" spans="6:10" ht="15.75" x14ac:dyDescent="0.25">
      <c r="F49" s="197" t="s">
        <v>144</v>
      </c>
      <c r="G49" s="197"/>
      <c r="H49" s="133">
        <f>+'B- Control Admin-Organizacional'!H35</f>
        <v>6.6666666666666666E-2</v>
      </c>
      <c r="I49" s="140" t="s">
        <v>151</v>
      </c>
      <c r="J49" s="141" t="s">
        <v>147</v>
      </c>
    </row>
    <row r="50" spans="6:10" ht="15.75" x14ac:dyDescent="0.25">
      <c r="F50" s="197" t="s">
        <v>142</v>
      </c>
      <c r="G50" s="197"/>
      <c r="H50" s="133">
        <f>+M47/R47</f>
        <v>0.375</v>
      </c>
      <c r="I50" s="140" t="s">
        <v>152</v>
      </c>
      <c r="J50" s="141" t="s">
        <v>148</v>
      </c>
    </row>
    <row r="51" spans="6:10" ht="15.75" x14ac:dyDescent="0.25">
      <c r="F51" s="198" t="s">
        <v>145</v>
      </c>
      <c r="G51" s="198"/>
      <c r="H51" s="159">
        <f>SUM(H48:H50)/3</f>
        <v>0.29722222222222222</v>
      </c>
      <c r="I51" s="140" t="s">
        <v>153</v>
      </c>
      <c r="J51" s="141" t="s">
        <v>149</v>
      </c>
    </row>
    <row r="52" spans="6:10" ht="15.75" x14ac:dyDescent="0.25">
      <c r="F52" s="148" t="s">
        <v>154</v>
      </c>
      <c r="G52" s="148"/>
      <c r="H52" s="150" t="str">
        <f>+I51</f>
        <v>ALTO</v>
      </c>
      <c r="I52" s="46"/>
      <c r="J52" s="147"/>
    </row>
    <row r="53" spans="6:10" ht="15.75" x14ac:dyDescent="0.25">
      <c r="F53" s="148"/>
      <c r="G53" s="148"/>
      <c r="H53" s="149"/>
      <c r="I53" s="46"/>
      <c r="J53" s="147"/>
    </row>
    <row r="57" spans="6:10" ht="15.75" x14ac:dyDescent="0.25">
      <c r="G57" s="142"/>
      <c r="H57" s="143"/>
      <c r="I57" s="142"/>
      <c r="J57" s="136"/>
    </row>
    <row r="58" spans="6:10" ht="15.75" x14ac:dyDescent="0.25">
      <c r="G58" s="144"/>
      <c r="H58" s="145"/>
      <c r="I58" s="144"/>
      <c r="J58" s="137"/>
    </row>
    <row r="59" spans="6:10" ht="15.75" x14ac:dyDescent="0.25">
      <c r="G59" s="146"/>
      <c r="H59" s="145"/>
      <c r="I59" s="144"/>
      <c r="J59" s="137"/>
    </row>
    <row r="60" spans="6:10" ht="15.75" x14ac:dyDescent="0.25">
      <c r="G60" s="146"/>
      <c r="H60" s="145"/>
      <c r="I60" s="144"/>
      <c r="J60" s="137"/>
    </row>
    <row r="61" spans="6:10" ht="15.75" x14ac:dyDescent="0.25">
      <c r="G61" s="6"/>
      <c r="H61" s="6"/>
      <c r="I61" s="6"/>
    </row>
  </sheetData>
  <mergeCells count="25">
    <mergeCell ref="D23:E23"/>
    <mergeCell ref="E1:J1"/>
    <mergeCell ref="E2:J2"/>
    <mergeCell ref="E3:J3"/>
    <mergeCell ref="B13:C14"/>
    <mergeCell ref="D13:E14"/>
    <mergeCell ref="F13:G13"/>
    <mergeCell ref="H13:H14"/>
    <mergeCell ref="I13:I14"/>
    <mergeCell ref="J13:J14"/>
    <mergeCell ref="D15:E15"/>
    <mergeCell ref="D16:E16"/>
    <mergeCell ref="D17:E17"/>
    <mergeCell ref="D21:E21"/>
    <mergeCell ref="D22:E22"/>
    <mergeCell ref="D28:E28"/>
    <mergeCell ref="D33:E33"/>
    <mergeCell ref="D34:E34"/>
    <mergeCell ref="D35:E35"/>
    <mergeCell ref="D39:E39"/>
    <mergeCell ref="D44:E44"/>
    <mergeCell ref="F50:G50"/>
    <mergeCell ref="F49:G49"/>
    <mergeCell ref="F48:G48"/>
    <mergeCell ref="F51:G51"/>
  </mergeCells>
  <dataValidations count="1">
    <dataValidation type="list" allowBlank="1" showInputMessage="1" showErrorMessage="1" sqref="H15:I16 H18:I22 H24:I27 H29:I34 H36:I38 H40:I43 H45:I47" xr:uid="{00000000-0002-0000-0200-000000000000}">
      <formula1>$B$9:$B$11</formula1>
    </dataValidation>
  </dataValidations>
  <pageMargins left="0.54" right="0.70866141732283472" top="0.74803149606299213" bottom="0.74803149606299213" header="0.31496062992125984" footer="0.31496062992125984"/>
  <pageSetup paperSize="9" scale="5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A- Control Info Societaria</vt:lpstr>
      <vt:lpstr>B- Control Admin-Organizacional</vt:lpstr>
      <vt:lpstr>C- Control Contable Financiero</vt:lpstr>
      <vt:lpstr>'A- Control Info Societaria'!Área_de_impresión</vt:lpstr>
      <vt:lpstr>'B- Control Admin-Organizacional'!Área_de_impresión</vt:lpstr>
      <vt:lpstr>'C- Control Contable Financiero'!Área_de_impresión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2021-10-21T19:43:37Z</cp:lastPrinted>
  <dcterms:created xsi:type="dcterms:W3CDTF">2019-07-24T17:37:32Z</dcterms:created>
  <dcterms:modified xsi:type="dcterms:W3CDTF">2023-09-29T15:59:39Z</dcterms:modified>
</cp:coreProperties>
</file>