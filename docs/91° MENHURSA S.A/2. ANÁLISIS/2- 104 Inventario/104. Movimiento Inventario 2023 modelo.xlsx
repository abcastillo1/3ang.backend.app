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1 AAA\2023\0. AUDITORÍA MODELO 3ANG 2023\2. ANÁLISIS\2- 104 Inventario\"/>
    </mc:Choice>
  </mc:AlternateContent>
  <xr:revisionPtr revIDLastSave="0" documentId="13_ncr:1_{8BAB8EB7-23EA-40F6-A61B-A1432EF4A46C}" xr6:coauthVersionLast="47" xr6:coauthVersionMax="47" xr10:uidLastSave="{00000000-0000-0000-0000-000000000000}"/>
  <bookViews>
    <workbookView xWindow="-120" yWindow="-120" windowWidth="20730" windowHeight="11040" xr2:uid="{4300E1A7-2DA1-43F0-9889-D198175072AD}"/>
  </bookViews>
  <sheets>
    <sheet name="104-1" sheetId="3" r:id="rId1"/>
    <sheet name="P-104" sheetId="2" r:id="rId2"/>
  </sheets>
  <definedNames>
    <definedName name="_xlnm.Print_Area" localSheetId="0">'104-1'!$B$1:$E$35</definedName>
    <definedName name="_xlnm.Print_Area" localSheetId="1">'P-104'!$B$1:$Q$50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7" i="3" l="1"/>
  <c r="C18" i="3" s="1"/>
  <c r="D4" i="3"/>
  <c r="L8" i="2"/>
  <c r="H8" i="2"/>
</calcChain>
</file>

<file path=xl/sharedStrings.xml><?xml version="1.0" encoding="utf-8"?>
<sst xmlns="http://schemas.openxmlformats.org/spreadsheetml/2006/main" count="178" uniqueCount="138">
  <si>
    <t>3 ANG ADMINISTRACIÓN DE NEGOCIOS GERENCIALES CÍA LTDA.</t>
  </si>
  <si>
    <t>PROGRAMA DE AUDITORÍA SOBRE LOS ESTADOS FINANCIEROS</t>
  </si>
  <si>
    <t>P-104</t>
  </si>
  <si>
    <t>REF P.T</t>
  </si>
  <si>
    <t xml:space="preserve">CLIENTE:             </t>
  </si>
  <si>
    <t>ABC</t>
  </si>
  <si>
    <t xml:space="preserve">PERIODO:      </t>
  </si>
  <si>
    <t>Desde el 01 de enero al 31 de Diciembre del 2023</t>
  </si>
  <si>
    <t>Preliminar:</t>
  </si>
  <si>
    <t>Final</t>
  </si>
  <si>
    <t>ÁREA</t>
  </si>
  <si>
    <t>INVENTARIOS</t>
  </si>
  <si>
    <t>(x)</t>
  </si>
  <si>
    <t>Firma y sello</t>
  </si>
  <si>
    <t xml:space="preserve">ELABORADO POR: </t>
  </si>
  <si>
    <t>Elizabeth Palacios</t>
  </si>
  <si>
    <t>FECHA:</t>
  </si>
  <si>
    <t>R.C</t>
  </si>
  <si>
    <t>REVISADO POR:</t>
  </si>
  <si>
    <t>Roy Cisneros</t>
  </si>
  <si>
    <t>OBJETIVOS:</t>
  </si>
  <si>
    <t>Comprobar la existencia física de: productos, materiales y suministros, que son propiedad de la Compañía y están en existencia, en tránsito, en depósito o almacenes ajenos o en consignación.</t>
  </si>
  <si>
    <t>Comprobar que el inventario está debidamente compilado y valuado de conformidad con métodos aceptables a su valoración. Comprobar su adecuada presentación y revelación en los estados financieros.</t>
  </si>
  <si>
    <t>REFERENCIAS</t>
  </si>
  <si>
    <t>ASEVERACIÓN:</t>
  </si>
  <si>
    <t>REVISIÓN</t>
  </si>
  <si>
    <t>TIPO DE PRUEBA</t>
  </si>
  <si>
    <t>E</t>
  </si>
  <si>
    <t>Existencia u ocurrencia</t>
  </si>
  <si>
    <r>
      <rPr>
        <b/>
        <sz val="10"/>
        <color rgb="FFFF0000"/>
        <rFont val="Times New Roman"/>
        <family val="1"/>
      </rPr>
      <t xml:space="preserve">V  </t>
    </r>
    <r>
      <rPr>
        <sz val="10"/>
        <color theme="1"/>
        <rFont val="Times New Roman"/>
        <family val="1"/>
      </rPr>
      <t xml:space="preserve"> Valuación</t>
    </r>
  </si>
  <si>
    <t>✓</t>
  </si>
  <si>
    <t>Preliminar</t>
  </si>
  <si>
    <t>Pruebas Sustantivos.</t>
  </si>
  <si>
    <t>I</t>
  </si>
  <si>
    <t>Integridad o totalidad</t>
  </si>
  <si>
    <r>
      <rPr>
        <b/>
        <sz val="10"/>
        <color rgb="FFFF0000"/>
        <rFont val="Times New Roman"/>
        <family val="1"/>
      </rPr>
      <t xml:space="preserve">P   </t>
    </r>
    <r>
      <rPr>
        <sz val="10"/>
        <color theme="1"/>
        <rFont val="Times New Roman"/>
        <family val="1"/>
      </rPr>
      <t xml:space="preserve"> Presentación y divulgación</t>
    </r>
  </si>
  <si>
    <t>D</t>
  </si>
  <si>
    <t>. Pruebas Sustantivas de Detalle.</t>
  </si>
  <si>
    <t>Derechos y obligaciones</t>
  </si>
  <si>
    <r>
      <rPr>
        <b/>
        <sz val="10"/>
        <color rgb="FFFF0000"/>
        <rFont val="Times New Roman"/>
        <family val="1"/>
      </rPr>
      <t>P1</t>
    </r>
    <r>
      <rPr>
        <sz val="10"/>
        <color theme="1"/>
        <rFont val="Times New Roman"/>
        <family val="1"/>
      </rPr>
      <t xml:space="preserve">   Período</t>
    </r>
  </si>
  <si>
    <t>Prel y Final</t>
  </si>
  <si>
    <t>A</t>
  </si>
  <si>
    <t>. Pruebas Suntantivas Analíticas</t>
  </si>
  <si>
    <r>
      <rPr>
        <b/>
        <sz val="10"/>
        <color rgb="FFFF0000"/>
        <rFont val="Times New Roman"/>
        <family val="1"/>
      </rPr>
      <t xml:space="preserve">C  </t>
    </r>
    <r>
      <rPr>
        <sz val="10"/>
        <color theme="1"/>
        <rFont val="Times New Roman"/>
        <family val="1"/>
      </rPr>
      <t xml:space="preserve"> Clasificación</t>
    </r>
  </si>
  <si>
    <t>C</t>
  </si>
  <si>
    <t>Pruebas de Control o Cumplimiento.</t>
  </si>
  <si>
    <t>PROCEDIMIENTOS</t>
  </si>
  <si>
    <t>ASEVERACIÓN</t>
  </si>
  <si>
    <t>REFERENCIA P. T</t>
  </si>
  <si>
    <t>PRUEBAS</t>
  </si>
  <si>
    <t>V</t>
  </si>
  <si>
    <t>P</t>
  </si>
  <si>
    <t>P1</t>
  </si>
  <si>
    <t xml:space="preserve">Realizar la Sumaria </t>
  </si>
  <si>
    <t>104-</t>
  </si>
  <si>
    <t>Realizar el reporte diario</t>
  </si>
  <si>
    <t>Comparar selectivamente el costo unitario de artículos comprados con las facturas del proveedor. Verificar que la documentación soporte de las adquisiciones sea adecuada y suficiente.</t>
  </si>
  <si>
    <t>Preparar un movimiento de las cuentas de inventarios donde se incluyan saldos iniciales, adiciones, retiros, ajustes etc. y saldos finales. Explicar y analizar cualquier movimiento importante o inusual, referenciar saldo inicial con documentos soportes.</t>
  </si>
  <si>
    <t>Verifique si hubieron adiciones o retiros del inventario con los mayores auxiliares y con documento soporte.</t>
  </si>
  <si>
    <t>Determinar si hay otros materiales o mercancías incluidas en el inventario que sean propiedad de terceros (ejemplo: materiales suministrados por un cliente para producción o reparación). Asegurarse que se tenga información adecuada para identificarlos en los listados del inventario final.</t>
  </si>
  <si>
    <t>Revise los ingresos de inventarios seleccionando partidas de compras  registradas  durante   el período inmediatamente posterior a la fecha de la toma física de los inventarios.</t>
  </si>
  <si>
    <t>Revise el movimiento en el mayor entre el inventario físico y el final.</t>
  </si>
  <si>
    <t>INTEGRACIÓN DEL INVENTARIO</t>
  </si>
  <si>
    <t>Presencie la toma de los inventarios físicos, pedir acta</t>
  </si>
  <si>
    <t>Prepare un breve memorándum del resultado.</t>
  </si>
  <si>
    <t>Confirme existencias en poder de maquiladores, comisionistas, etc.</t>
  </si>
  <si>
    <t>Determine la existencia de inventarios obsoletos o de poco movimiento.</t>
  </si>
  <si>
    <t>Revise la corrección de los listados finales:</t>
  </si>
  <si>
    <t>Compare nuestros recuentos contra las listas finales.</t>
  </si>
  <si>
    <t>Compruebe que se incluyeron todos los talones de recuento.</t>
  </si>
  <si>
    <t>Inspeccione físicamente las existencias de importancia no contadas por nosotros.</t>
  </si>
  <si>
    <t>Compruebe precios unitarios.</t>
  </si>
  <si>
    <t>Verifique multiplicaciones y sumas.</t>
  </si>
  <si>
    <t>Coteje el total al mayor.</t>
  </si>
  <si>
    <t>Revise la consistencia en la valuación. Compruebe que el costo es menor al precio del mercado.</t>
  </si>
  <si>
    <t>Revise la corrección del saldo de mercancías en tránsito y en consignación.</t>
  </si>
  <si>
    <t>Concluya en la sumaria de acuerdo a los objetivos de la sección.</t>
  </si>
  <si>
    <t>CONCLUSIÓN DEL ÁREA</t>
  </si>
  <si>
    <t>En base a los procedimientos aplicados en el área y descritos en el programa de trabajo podemos concluir que los saldos presentados por la compañía al 31 de diciembre del 2018, son razonables.</t>
  </si>
  <si>
    <t>3 A.N.G ADMINISTRACIÓN DE NEGOCIOS GERENCIALES CÍA. LTDA.</t>
  </si>
  <si>
    <t>REPORTE DIARIO DE TRABAJO</t>
  </si>
  <si>
    <t>Final:</t>
  </si>
  <si>
    <t>GUIA:</t>
  </si>
  <si>
    <t xml:space="preserve">Integro/Reintegro </t>
  </si>
  <si>
    <t>EMPRESA:</t>
  </si>
  <si>
    <t>XXXXX</t>
  </si>
  <si>
    <t>ELABORADO POR:</t>
  </si>
  <si>
    <t>K.B.</t>
  </si>
  <si>
    <t>E.P.</t>
  </si>
  <si>
    <t>APROBADO POR:</t>
  </si>
  <si>
    <t>R.C.</t>
  </si>
  <si>
    <t>PERIODO :</t>
  </si>
  <si>
    <t>Desde el 01 de Enero 2023 al 31 de Diciembre del 2023</t>
  </si>
  <si>
    <t>ÁREA:</t>
  </si>
  <si>
    <t>(104) INVENTARIO</t>
  </si>
  <si>
    <t>MONTO DEL ÁREA:</t>
  </si>
  <si>
    <t>CUENTA:</t>
  </si>
  <si>
    <t>CÓDIGO</t>
  </si>
  <si>
    <t>DESCRIPCIÓN</t>
  </si>
  <si>
    <t>VALOR</t>
  </si>
  <si>
    <t>1.1.3.1.</t>
  </si>
  <si>
    <t>Inventario materiales y suministros</t>
  </si>
  <si>
    <t>inventario de productos en procesos</t>
  </si>
  <si>
    <t>MONTO DE CUENTA:</t>
  </si>
  <si>
    <t>ALCANCE:</t>
  </si>
  <si>
    <t>MATERIALIDAD:</t>
  </si>
  <si>
    <t>RIESGO:</t>
  </si>
  <si>
    <t>ALTO:</t>
  </si>
  <si>
    <t>MEDIO:</t>
  </si>
  <si>
    <t>(X)</t>
  </si>
  <si>
    <t>BAJO:</t>
  </si>
  <si>
    <t>TIPO DE PRUEBA:</t>
  </si>
  <si>
    <t>Análisis, Cumplimiento y Sustantivas</t>
  </si>
  <si>
    <t>Integridad y Exactitud</t>
  </si>
  <si>
    <t>TIEMPO ESTIMADO:</t>
  </si>
  <si>
    <t>HORAS</t>
  </si>
  <si>
    <t>¿¿¿¿¿</t>
  </si>
  <si>
    <t>NARRATIVA DE LA PRUEBA</t>
  </si>
  <si>
    <t xml:space="preserve">Si el inventario es un rubro de importancia relativa en los estados financieros, el auditor deberá obtener evidencia de auditoría suficiente y apropiada, respecto a la existencia y condición del inventario por medio de una presencia en el conteo físico del inventario, a menos que sea factible para evaluar las instrucciones y procedimientos de la administración para registrar y controlar los resultados del conteo físico del inventario. Observar la realización de los procedimientos del conteo de la administración. Inspeccionar el inventario y realizar pruebas físicas selectivas al recuento realizado por la compañía
</t>
  </si>
  <si>
    <t xml:space="preserve">NIA </t>
  </si>
  <si>
    <t>¿¿</t>
  </si>
  <si>
    <t>NOMBRE NIA</t>
  </si>
  <si>
    <t>EVIDENCIA DE AUDITORIA</t>
  </si>
  <si>
    <t>¿¿¿</t>
  </si>
  <si>
    <t>NIA PARRAFO:</t>
  </si>
  <si>
    <t xml:space="preserve">El objetivo de la norma internacional de auditoria es obtener evidencia de auditoría suficiente y apropiada respecto de la existencia y condición del inventario. Si el inventario es un rubro significativo en los estados financieros, el auditor deberá obtener evidencia de auditoría suficiente y apropiada, respecto a la existencia y condición del inventario </t>
  </si>
  <si>
    <t>PYMES, NIIF NIC:</t>
  </si>
  <si>
    <t>NIIF  PYMES:</t>
  </si>
  <si>
    <t>NIIF FULL:</t>
  </si>
  <si>
    <t>NORMA CONTAB.</t>
  </si>
  <si>
    <t>NIIF PYMES</t>
  </si>
  <si>
    <t>¿¿¿¿¿¿¿</t>
  </si>
  <si>
    <t>DETALLE SECCIÓN:</t>
  </si>
  <si>
    <t>Conocer los requerimientos de información financiera para inventarios de acuerdo con la NIIF para las PYMES. Además, mediante la realización de casos prácticos que simulan aspectos de aplicación real de dicho conocimiento, Distinguir partidas de inventarios de otros activos de una entidad.  Identificar cuándo las partidas de inventarios reúnen las condiciones para su reconocimiento en los estados financieros. Medir las partidas de inventarios en el reconocimiento inicial y posteriormente. Identificar cuándo una partida del inventario debe ser reconocida como un gasto. Presentar y revelar inventarios en estados financieros. Demostrar comprensión de los juicios profesionales esenciales que se necesitan para la contabilización de inventarios</t>
  </si>
  <si>
    <t>NIC 2 INVENTARIOS</t>
  </si>
  <si>
    <t>NIIF COMPLETAS</t>
  </si>
  <si>
    <t>DETALLE NIIF:</t>
  </si>
  <si>
    <t>Un tema fundamental en la contabilidad de los inventarios es la cantidad de costo que debe reconocerse como un activo, para que sea diferido hasta que los ingresos correspondientes sean reconocidos. Esta Norma suministra una guía práctica para la determinación de ese costo, así como para el subsiguiente reconocimiento como un gasto del periodo, incluyendo también cualquier deterioro que rebaje el importe en libros al valor neto realizable. También suministra directrices sobre las fórmulas del costo que se usan para atribuir costos a los inventarios.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</si>
</sst>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quot;$&quot;\ * #,##0.00_);_(&quot;$&quot;\ * \(#,##0.00\);_(&quot;$&quot;\ * &quot;-&quot;??_);_(@_)"/>
  </numFmts>
  <fonts count="28"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6"/>
      <color rgb="FF002060"/>
      <name val="Calibri Light"/>
      <family val="2"/>
      <scheme val="major"/>
    </font>
    <font>
      <b/>
      <sz val="30"/>
      <color rgb="FFFF0000"/>
      <name val="Arial Black"/>
      <family val="2"/>
    </font>
    <font>
      <b/>
      <sz val="14"/>
      <color rgb="FF002060"/>
      <name val="Calibri Light"/>
      <family val="2"/>
      <scheme val="major"/>
    </font>
    <font>
      <sz val="12"/>
      <color theme="1"/>
      <name val="Times New Roman"/>
      <family val="1"/>
    </font>
    <font>
      <sz val="10"/>
      <name val="Arial"/>
      <family val="2"/>
    </font>
    <font>
      <b/>
      <sz val="12"/>
      <name val="Times New Roman"/>
      <family val="1"/>
    </font>
    <font>
      <b/>
      <sz val="12"/>
      <color theme="1"/>
      <name val="Times New Roman"/>
      <family val="1"/>
    </font>
    <font>
      <b/>
      <sz val="12"/>
      <color rgb="FFFF0000"/>
      <name val="Times New Roman"/>
      <family val="1"/>
    </font>
    <font>
      <i/>
      <sz val="10"/>
      <color theme="1"/>
      <name val="Calibri Light"/>
      <family val="2"/>
      <scheme val="major"/>
    </font>
    <font>
      <sz val="11"/>
      <color theme="1"/>
      <name val="Times New Roman"/>
      <family val="1"/>
    </font>
    <font>
      <sz val="12"/>
      <name val="Times New Roman"/>
      <family val="1"/>
    </font>
    <font>
      <b/>
      <sz val="11"/>
      <color theme="1"/>
      <name val="Times New Roman"/>
      <family val="1"/>
    </font>
    <font>
      <b/>
      <u/>
      <sz val="10"/>
      <color rgb="FFFF0000"/>
      <name val="Times New Roman"/>
      <family val="1"/>
    </font>
    <font>
      <sz val="10"/>
      <color theme="1"/>
      <name val="Times New Roman"/>
      <family val="1"/>
    </font>
    <font>
      <b/>
      <sz val="10"/>
      <color rgb="FFFF0000"/>
      <name val="Times New Roman"/>
      <family val="1"/>
    </font>
    <font>
      <sz val="11"/>
      <color rgb="FFFF0000"/>
      <name val="Arial"/>
      <family val="2"/>
    </font>
    <font>
      <sz val="10"/>
      <name val="Times New Roman"/>
      <family val="1"/>
    </font>
    <font>
      <b/>
      <u/>
      <sz val="10"/>
      <name val="Times New Roman"/>
      <family val="1"/>
    </font>
    <font>
      <b/>
      <sz val="10"/>
      <color theme="1"/>
      <name val="Times New Roman"/>
      <family val="1"/>
    </font>
    <font>
      <b/>
      <sz val="15"/>
      <name val="Times New Roman"/>
      <family val="1"/>
    </font>
    <font>
      <b/>
      <sz val="16"/>
      <color rgb="FFFF0000"/>
      <name val="Times New Roman"/>
      <family val="1"/>
    </font>
    <font>
      <sz val="12"/>
      <color indexed="62"/>
      <name val="Times New Roman"/>
      <family val="1"/>
    </font>
    <font>
      <b/>
      <u/>
      <sz val="12"/>
      <name val="Times New Roman"/>
      <family val="1"/>
    </font>
    <font>
      <sz val="12"/>
      <color rgb="FFFF0000"/>
      <name val="Times New Roman"/>
      <family val="1"/>
    </font>
  </fonts>
  <fills count="3">
    <fill>
      <patternFill patternType="none"/>
    </fill>
    <fill>
      <patternFill patternType="gray125"/>
    </fill>
    <fill>
      <patternFill patternType="solid">
        <fgColor rgb="FF00FF00"/>
        <bgColor indexed="64"/>
      </patternFill>
    </fill>
  </fills>
  <borders count="45">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s>
  <cellStyleXfs count="6">
    <xf numFmtId="0" fontId="0" fillId="0" borderId="0"/>
    <xf numFmtId="9" fontId="1" fillId="0" borderId="0" applyFont="0" applyFill="0" applyBorder="0" applyAlignment="0" applyProtection="0"/>
    <xf numFmtId="0" fontId="8" fillId="0" borderId="0"/>
    <xf numFmtId="0" fontId="8" fillId="0" borderId="0"/>
    <xf numFmtId="164" fontId="1" fillId="0" borderId="0" applyFont="0" applyFill="0" applyBorder="0" applyAlignment="0" applyProtection="0"/>
    <xf numFmtId="165" fontId="1" fillId="0" borderId="0" applyFont="0" applyFill="0" applyBorder="0" applyAlignment="0" applyProtection="0"/>
  </cellStyleXfs>
  <cellXfs count="180">
    <xf numFmtId="0" fontId="0" fillId="0" borderId="0" xfId="0"/>
    <xf numFmtId="0" fontId="3" fillId="0" borderId="0" xfId="0" applyFont="1" applyAlignment="1">
      <alignment textRotation="255"/>
    </xf>
    <xf numFmtId="0" fontId="4" fillId="0" borderId="0" xfId="0" applyFont="1" applyAlignment="1">
      <alignment horizontal="center"/>
    </xf>
    <xf numFmtId="0" fontId="5" fillId="0" borderId="1" xfId="0" applyFont="1" applyBorder="1" applyAlignment="1">
      <alignment horizontal="center" vertical="center"/>
    </xf>
    <xf numFmtId="0" fontId="6" fillId="0" borderId="0" xfId="0" applyFont="1" applyAlignment="1">
      <alignment horizontal="center"/>
    </xf>
    <xf numFmtId="0" fontId="2" fillId="0" borderId="0" xfId="0" applyFont="1" applyAlignment="1">
      <alignment horizontal="right"/>
    </xf>
    <xf numFmtId="0" fontId="5" fillId="0" borderId="2" xfId="0" applyFont="1" applyBorder="1" applyAlignment="1">
      <alignment horizontal="center" vertical="center"/>
    </xf>
    <xf numFmtId="0" fontId="7" fillId="0" borderId="0" xfId="0" applyFont="1" applyAlignment="1">
      <alignment textRotation="255"/>
    </xf>
    <xf numFmtId="0" fontId="9" fillId="0" borderId="0" xfId="2" applyFont="1"/>
    <xf numFmtId="0" fontId="7" fillId="0" borderId="0" xfId="0" applyFont="1"/>
    <xf numFmtId="0" fontId="5" fillId="0" borderId="3" xfId="0" applyFont="1" applyBorder="1" applyAlignment="1">
      <alignment horizontal="center" vertical="center"/>
    </xf>
    <xf numFmtId="0" fontId="10" fillId="0" borderId="0" xfId="0" applyFont="1" applyAlignment="1">
      <alignment horizontal="center"/>
    </xf>
    <xf numFmtId="0" fontId="10" fillId="0" borderId="0" xfId="0" applyFont="1" applyAlignment="1">
      <alignment horizontal="center"/>
    </xf>
    <xf numFmtId="0" fontId="10" fillId="0" borderId="0" xfId="0" applyFont="1"/>
    <xf numFmtId="0" fontId="11" fillId="0" borderId="0" xfId="0" applyFont="1" applyAlignment="1">
      <alignment horizontal="center"/>
    </xf>
    <xf numFmtId="0" fontId="11" fillId="0" borderId="0" xfId="0" applyFont="1" applyAlignment="1">
      <alignment horizontal="center"/>
    </xf>
    <xf numFmtId="0" fontId="12" fillId="0" borderId="4" xfId="0" applyFont="1" applyBorder="1" applyAlignment="1">
      <alignment horizontal="right"/>
    </xf>
    <xf numFmtId="14" fontId="13" fillId="0" borderId="0" xfId="0" applyNumberFormat="1" applyFont="1" applyAlignment="1">
      <alignment horizontal="center"/>
    </xf>
    <xf numFmtId="0" fontId="13" fillId="0" borderId="0" xfId="0" applyFont="1" applyAlignment="1">
      <alignment horizontal="center"/>
    </xf>
    <xf numFmtId="0" fontId="11" fillId="0" borderId="5" xfId="0" applyFont="1" applyBorder="1" applyAlignment="1">
      <alignment horizontal="center"/>
    </xf>
    <xf numFmtId="0" fontId="7" fillId="0" borderId="6" xfId="0" applyFont="1" applyBorder="1"/>
    <xf numFmtId="0" fontId="9" fillId="0" borderId="0" xfId="2" applyFont="1" applyAlignment="1">
      <alignment horizontal="left" vertical="center"/>
    </xf>
    <xf numFmtId="0" fontId="13" fillId="0" borderId="0" xfId="0" applyFont="1" applyAlignment="1">
      <alignment horizontal="justify" vertical="justify"/>
    </xf>
    <xf numFmtId="0" fontId="14" fillId="0" borderId="0" xfId="0" applyFont="1" applyAlignment="1">
      <alignment textRotation="255" wrapText="1"/>
    </xf>
    <xf numFmtId="0" fontId="9" fillId="0" borderId="0" xfId="2" applyFont="1" applyAlignment="1">
      <alignment horizontal="left" vertical="center"/>
    </xf>
    <xf numFmtId="0" fontId="15" fillId="0" borderId="0" xfId="0" applyFont="1" applyAlignment="1">
      <alignment horizontal="justify" vertical="justify"/>
    </xf>
    <xf numFmtId="0" fontId="13" fillId="0" borderId="0" xfId="0" applyFont="1" applyAlignment="1">
      <alignment horizontal="justify" vertical="justify"/>
    </xf>
    <xf numFmtId="0" fontId="16" fillId="0" borderId="0" xfId="0" applyFont="1" applyAlignment="1">
      <alignment horizontal="center"/>
    </xf>
    <xf numFmtId="0" fontId="17" fillId="0" borderId="0" xfId="0" applyFont="1"/>
    <xf numFmtId="0" fontId="18" fillId="0" borderId="0" xfId="0" applyFont="1"/>
    <xf numFmtId="0" fontId="18" fillId="0" borderId="0" xfId="0" applyFont="1" applyAlignment="1">
      <alignment horizontal="right"/>
    </xf>
    <xf numFmtId="0" fontId="19" fillId="0" borderId="0" xfId="0" applyFont="1"/>
    <xf numFmtId="0" fontId="18" fillId="0" borderId="0" xfId="3" applyFont="1" applyAlignment="1">
      <alignment horizontal="right" vertical="top" wrapText="1"/>
    </xf>
    <xf numFmtId="0" fontId="20" fillId="0" borderId="0" xfId="0" applyFont="1"/>
    <xf numFmtId="0" fontId="21" fillId="0" borderId="0" xfId="0" applyFont="1"/>
    <xf numFmtId="0" fontId="22" fillId="0" borderId="0" xfId="0" applyFont="1"/>
    <xf numFmtId="49" fontId="18" fillId="0" borderId="0" xfId="3" applyNumberFormat="1" applyFont="1" applyAlignment="1">
      <alignment horizontal="right" vertical="top" wrapText="1"/>
    </xf>
    <xf numFmtId="0" fontId="17" fillId="0" borderId="0" xfId="0" applyFont="1" applyAlignment="1">
      <alignment textRotation="255"/>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5"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1" fillId="0" borderId="14" xfId="0" applyFont="1" applyBorder="1" applyAlignment="1">
      <alignment vertical="center"/>
    </xf>
    <xf numFmtId="0" fontId="11" fillId="0" borderId="15" xfId="0" applyFont="1" applyBorder="1" applyAlignment="1">
      <alignment vertical="center"/>
    </xf>
    <xf numFmtId="0" fontId="15" fillId="0" borderId="12" xfId="0" applyFont="1" applyBorder="1" applyAlignment="1">
      <alignment horizontal="center" vertical="center" wrapText="1"/>
    </xf>
    <xf numFmtId="0" fontId="15" fillId="0" borderId="13" xfId="0" applyFont="1" applyBorder="1" applyAlignment="1">
      <alignment horizontal="center" vertical="center" wrapText="1"/>
    </xf>
    <xf numFmtId="0" fontId="10" fillId="0" borderId="16" xfId="0" applyFont="1" applyBorder="1" applyAlignment="1">
      <alignment horizontal="center" vertical="center"/>
    </xf>
    <xf numFmtId="0" fontId="10" fillId="0" borderId="17" xfId="0" applyFont="1" applyBorder="1" applyAlignment="1">
      <alignment horizontal="left" vertical="justify"/>
    </xf>
    <xf numFmtId="0" fontId="10" fillId="0" borderId="11" xfId="0" applyFont="1" applyBorder="1" applyAlignment="1">
      <alignment horizontal="left" vertical="justify"/>
    </xf>
    <xf numFmtId="0" fontId="11" fillId="0" borderId="18" xfId="0" applyFont="1" applyBorder="1" applyAlignment="1">
      <alignment horizontal="center" vertical="center"/>
    </xf>
    <xf numFmtId="0" fontId="11" fillId="0" borderId="3" xfId="0" applyFont="1" applyBorder="1" applyAlignment="1">
      <alignment horizontal="center" vertical="center"/>
    </xf>
    <xf numFmtId="0" fontId="11" fillId="0" borderId="19" xfId="0" applyFont="1" applyBorder="1" applyAlignment="1">
      <alignment horizontal="center" vertical="center"/>
    </xf>
    <xf numFmtId="0" fontId="10" fillId="0" borderId="20" xfId="0" applyFont="1" applyBorder="1" applyAlignment="1">
      <alignment horizontal="center" vertical="center" wrapText="1"/>
    </xf>
    <xf numFmtId="0" fontId="10" fillId="0" borderId="21" xfId="0" applyFont="1" applyBorder="1" applyAlignment="1">
      <alignment horizontal="center" vertical="center"/>
    </xf>
    <xf numFmtId="0" fontId="7" fillId="0" borderId="22" xfId="0" applyFont="1" applyBorder="1" applyAlignment="1">
      <alignment horizontal="justify" vertical="justify"/>
    </xf>
    <xf numFmtId="0" fontId="7" fillId="0" borderId="23" xfId="0" applyFont="1" applyBorder="1" applyAlignment="1">
      <alignment horizontal="justify" vertical="justify"/>
    </xf>
    <xf numFmtId="0" fontId="7" fillId="0" borderId="24" xfId="0" applyFont="1" applyBorder="1" applyAlignment="1">
      <alignment horizontal="center"/>
    </xf>
    <xf numFmtId="0" fontId="7" fillId="0" borderId="25" xfId="0" applyFont="1" applyBorder="1" applyAlignment="1">
      <alignment horizontal="center"/>
    </xf>
    <xf numFmtId="0" fontId="11" fillId="0" borderId="22" xfId="0" applyFont="1" applyBorder="1" applyAlignment="1">
      <alignment horizontal="center"/>
    </xf>
    <xf numFmtId="0" fontId="11" fillId="0" borderId="23" xfId="0" applyFont="1" applyBorder="1" applyAlignment="1">
      <alignment horizontal="center"/>
    </xf>
    <xf numFmtId="0" fontId="7" fillId="0" borderId="26" xfId="0" applyFont="1" applyBorder="1"/>
    <xf numFmtId="0" fontId="7" fillId="0" borderId="23" xfId="0" applyFont="1" applyBorder="1" applyAlignment="1">
      <alignment horizontal="center"/>
    </xf>
    <xf numFmtId="0" fontId="11" fillId="0" borderId="26" xfId="0" applyFont="1" applyBorder="1"/>
    <xf numFmtId="0" fontId="7" fillId="0" borderId="22" xfId="0" applyFont="1" applyBorder="1" applyAlignment="1">
      <alignment horizontal="center"/>
    </xf>
    <xf numFmtId="0" fontId="10" fillId="0" borderId="22" xfId="0" applyFont="1" applyBorder="1" applyAlignment="1">
      <alignment horizontal="justify" vertical="justify"/>
    </xf>
    <xf numFmtId="0" fontId="10" fillId="0" borderId="23" xfId="0" applyFont="1" applyBorder="1" applyAlignment="1">
      <alignment horizontal="justify" vertical="justify"/>
    </xf>
    <xf numFmtId="0" fontId="7" fillId="0" borderId="12" xfId="0" applyFont="1" applyBorder="1" applyAlignment="1">
      <alignment horizontal="justify" vertical="justify"/>
    </xf>
    <xf numFmtId="0" fontId="7" fillId="0" borderId="13" xfId="0" applyFont="1" applyBorder="1" applyAlignment="1">
      <alignment horizontal="justify" vertical="justify"/>
    </xf>
    <xf numFmtId="0" fontId="7" fillId="0" borderId="14" xfId="0" applyFont="1" applyBorder="1"/>
    <xf numFmtId="0" fontId="7" fillId="0" borderId="15" xfId="0" applyFont="1" applyBorder="1"/>
    <xf numFmtId="0" fontId="7" fillId="0" borderId="12" xfId="0" applyFont="1" applyBorder="1"/>
    <xf numFmtId="0" fontId="7" fillId="0" borderId="13" xfId="0" applyFont="1" applyBorder="1"/>
    <xf numFmtId="0" fontId="7" fillId="0" borderId="16" xfId="0" applyFont="1" applyBorder="1"/>
    <xf numFmtId="0" fontId="10" fillId="0" borderId="0" xfId="0" applyFont="1" applyAlignment="1">
      <alignment horizontal="justify" vertical="justify"/>
    </xf>
    <xf numFmtId="0" fontId="7" fillId="0" borderId="27" xfId="0" applyFont="1" applyBorder="1" applyAlignment="1">
      <alignment horizontal="left" vertical="top" wrapText="1"/>
    </xf>
    <xf numFmtId="0" fontId="7" fillId="0" borderId="28" xfId="0" applyFont="1" applyBorder="1" applyAlignment="1">
      <alignment horizontal="left" vertical="top" wrapText="1"/>
    </xf>
    <xf numFmtId="0" fontId="7" fillId="0" borderId="29" xfId="0" applyFont="1" applyBorder="1" applyAlignment="1">
      <alignment horizontal="left" vertical="top" wrapText="1"/>
    </xf>
    <xf numFmtId="0" fontId="14" fillId="0" borderId="0" xfId="2" applyFont="1" applyAlignment="1">
      <alignment vertical="top" textRotation="255" wrapText="1"/>
    </xf>
    <xf numFmtId="0" fontId="14" fillId="0" borderId="30" xfId="2" applyFont="1" applyBorder="1" applyAlignment="1">
      <alignment horizontal="left" vertical="center"/>
    </xf>
    <xf numFmtId="0" fontId="23" fillId="0" borderId="31" xfId="0" applyFont="1" applyBorder="1" applyAlignment="1">
      <alignment horizontal="center" wrapText="1"/>
    </xf>
    <xf numFmtId="0" fontId="24" fillId="0" borderId="4" xfId="0" applyFont="1" applyBorder="1" applyAlignment="1">
      <alignment horizontal="center" vertical="center" wrapText="1"/>
    </xf>
    <xf numFmtId="0" fontId="25" fillId="0" borderId="0" xfId="0" applyFont="1" applyAlignment="1">
      <alignment horizontal="center" wrapText="1"/>
    </xf>
    <xf numFmtId="0" fontId="25" fillId="0" borderId="0" xfId="0" applyFont="1" applyAlignment="1">
      <alignment wrapText="1"/>
    </xf>
    <xf numFmtId="0" fontId="14" fillId="0" borderId="0" xfId="2" applyFont="1" applyAlignment="1">
      <alignment wrapText="1"/>
    </xf>
    <xf numFmtId="0" fontId="14" fillId="0" borderId="32" xfId="2" applyFont="1" applyBorder="1" applyAlignment="1">
      <alignment horizontal="left" vertical="center"/>
    </xf>
    <xf numFmtId="0" fontId="9" fillId="0" borderId="33" xfId="0" applyFont="1" applyBorder="1" applyAlignment="1">
      <alignment horizontal="center" wrapText="1"/>
    </xf>
    <xf numFmtId="0" fontId="24" fillId="0" borderId="6" xfId="0" applyFont="1" applyBorder="1" applyAlignment="1">
      <alignment horizontal="center" vertical="center" wrapText="1"/>
    </xf>
    <xf numFmtId="0" fontId="9" fillId="0" borderId="0" xfId="0" applyFont="1" applyAlignment="1">
      <alignment horizontal="center" wrapText="1"/>
    </xf>
    <xf numFmtId="0" fontId="11" fillId="0" borderId="0" xfId="2" applyFont="1" applyAlignment="1">
      <alignment horizontal="center" wrapText="1"/>
    </xf>
    <xf numFmtId="0" fontId="9" fillId="0" borderId="0" xfId="2" applyFont="1" applyAlignment="1">
      <alignment wrapText="1"/>
    </xf>
    <xf numFmtId="0" fontId="7" fillId="0" borderId="0" xfId="0" applyFont="1" applyAlignment="1">
      <alignment vertical="top" textRotation="255"/>
    </xf>
    <xf numFmtId="0" fontId="26" fillId="0" borderId="34" xfId="2" applyFont="1" applyBorder="1" applyAlignment="1">
      <alignment horizontal="left" vertical="center"/>
    </xf>
    <xf numFmtId="0" fontId="9" fillId="0" borderId="7" xfId="2" applyFont="1" applyBorder="1" applyAlignment="1">
      <alignment horizontal="left" vertical="center"/>
    </xf>
    <xf numFmtId="14" fontId="9" fillId="0" borderId="10" xfId="2" applyNumberFormat="1" applyFont="1" applyBorder="1" applyAlignment="1">
      <alignment horizontal="justify" vertical="justify"/>
    </xf>
    <xf numFmtId="14" fontId="9" fillId="0" borderId="8" xfId="2" applyNumberFormat="1" applyFont="1" applyBorder="1" applyAlignment="1">
      <alignment horizontal="justify" vertical="justify"/>
    </xf>
    <xf numFmtId="14" fontId="14" fillId="0" borderId="0" xfId="0" applyNumberFormat="1" applyFont="1" applyAlignment="1">
      <alignment horizontal="left" vertical="center" wrapText="1"/>
    </xf>
    <xf numFmtId="0" fontId="26" fillId="0" borderId="35" xfId="2" applyFont="1" applyBorder="1" applyAlignment="1">
      <alignment horizontal="left" vertical="center"/>
    </xf>
    <xf numFmtId="0" fontId="9" fillId="0" borderId="22" xfId="2" applyFont="1" applyBorder="1" applyAlignment="1">
      <alignment horizontal="left" vertical="center"/>
    </xf>
    <xf numFmtId="14" fontId="9" fillId="0" borderId="25" xfId="2" applyNumberFormat="1" applyFont="1" applyBorder="1" applyAlignment="1">
      <alignment horizontal="justify" vertical="justify"/>
    </xf>
    <xf numFmtId="14" fontId="9" fillId="0" borderId="23" xfId="2" applyNumberFormat="1" applyFont="1" applyBorder="1" applyAlignment="1">
      <alignment horizontal="justify" vertical="justify"/>
    </xf>
    <xf numFmtId="0" fontId="9" fillId="0" borderId="35" xfId="2" applyFont="1" applyBorder="1" applyAlignment="1">
      <alignment horizontal="left" vertical="center"/>
    </xf>
    <xf numFmtId="0" fontId="14" fillId="0" borderId="22" xfId="0" applyFont="1" applyBorder="1" applyAlignment="1">
      <alignment horizontal="justify" vertical="justify"/>
    </xf>
    <xf numFmtId="0" fontId="14" fillId="0" borderId="25" xfId="0" applyFont="1" applyBorder="1" applyAlignment="1">
      <alignment horizontal="justify" vertical="justify"/>
    </xf>
    <xf numFmtId="0" fontId="14" fillId="0" borderId="23" xfId="0" applyFont="1" applyBorder="1" applyAlignment="1">
      <alignment horizontal="justify" vertical="justify"/>
    </xf>
    <xf numFmtId="0" fontId="14" fillId="0" borderId="0" xfId="0" applyFont="1" applyAlignment="1">
      <alignment horizontal="left" vertical="center" wrapText="1"/>
    </xf>
    <xf numFmtId="0" fontId="9" fillId="0" borderId="0" xfId="0" applyFont="1" applyAlignment="1">
      <alignment horizontal="left" vertical="center" wrapText="1"/>
    </xf>
    <xf numFmtId="0" fontId="9" fillId="0" borderId="22" xfId="0" applyFont="1" applyBorder="1" applyAlignment="1">
      <alignment horizontal="justify" vertical="justify"/>
    </xf>
    <xf numFmtId="0" fontId="9" fillId="0" borderId="25" xfId="0" applyFont="1" applyBorder="1" applyAlignment="1">
      <alignment horizontal="justify" vertical="justify"/>
    </xf>
    <xf numFmtId="0" fontId="9" fillId="0" borderId="23" xfId="0" applyFont="1" applyBorder="1" applyAlignment="1">
      <alignment horizontal="justify" vertical="justify"/>
    </xf>
    <xf numFmtId="0" fontId="26" fillId="0" borderId="36" xfId="2" applyFont="1" applyBorder="1" applyAlignment="1">
      <alignment horizontal="left" vertical="center"/>
    </xf>
    <xf numFmtId="164" fontId="9" fillId="0" borderId="32" xfId="4" applyFont="1" applyFill="1" applyBorder="1" applyAlignment="1">
      <alignment horizontal="center" vertical="center"/>
    </xf>
    <xf numFmtId="164" fontId="9" fillId="0" borderId="33" xfId="4" applyFont="1" applyFill="1" applyBorder="1" applyAlignment="1">
      <alignment horizontal="center" vertical="center"/>
    </xf>
    <xf numFmtId="164" fontId="9" fillId="0" borderId="37" xfId="4" applyFont="1" applyFill="1" applyBorder="1" applyAlignment="1">
      <alignment horizontal="center" vertical="center"/>
    </xf>
    <xf numFmtId="164" fontId="14" fillId="0" borderId="0" xfId="4" applyFont="1" applyBorder="1" applyAlignment="1">
      <alignment horizontal="left" vertical="center" wrapText="1"/>
    </xf>
    <xf numFmtId="0" fontId="9" fillId="0" borderId="36" xfId="0" applyFont="1" applyBorder="1" applyAlignment="1">
      <alignment horizontal="center" vertical="center"/>
    </xf>
    <xf numFmtId="0" fontId="9" fillId="0" borderId="27" xfId="2" applyFont="1" applyBorder="1" applyAlignment="1">
      <alignment vertical="center"/>
    </xf>
    <xf numFmtId="164" fontId="9" fillId="0" borderId="38" xfId="4" applyFont="1" applyFill="1" applyBorder="1" applyAlignment="1">
      <alignment vertical="center"/>
    </xf>
    <xf numFmtId="164" fontId="9" fillId="0" borderId="29" xfId="4" applyFont="1" applyBorder="1" applyAlignment="1">
      <alignment horizontal="left" vertical="center" wrapText="1"/>
    </xf>
    <xf numFmtId="0" fontId="9" fillId="0" borderId="36" xfId="0" applyFont="1" applyBorder="1" applyAlignment="1">
      <alignment vertical="center"/>
    </xf>
    <xf numFmtId="0" fontId="9" fillId="0" borderId="5" xfId="0" applyFont="1" applyBorder="1" applyAlignment="1">
      <alignment vertical="center"/>
    </xf>
    <xf numFmtId="165" fontId="7" fillId="0" borderId="39" xfId="5" applyFont="1" applyBorder="1" applyAlignment="1">
      <alignment horizontal="left"/>
    </xf>
    <xf numFmtId="0" fontId="7" fillId="0" borderId="0" xfId="0" applyFont="1" applyAlignment="1">
      <alignment horizontal="left"/>
    </xf>
    <xf numFmtId="0" fontId="7" fillId="0" borderId="39" xfId="0" applyFont="1" applyBorder="1" applyAlignment="1">
      <alignment horizontal="left"/>
    </xf>
    <xf numFmtId="165" fontId="14" fillId="0" borderId="22" xfId="0" applyNumberFormat="1" applyFont="1" applyBorder="1" applyAlignment="1">
      <alignment horizontal="justify" vertical="justify"/>
    </xf>
    <xf numFmtId="9" fontId="14" fillId="0" borderId="22" xfId="1" applyFont="1" applyFill="1" applyBorder="1" applyAlignment="1">
      <alignment horizontal="justify" vertical="justify"/>
    </xf>
    <xf numFmtId="9" fontId="14" fillId="0" borderId="25" xfId="1" applyFont="1" applyFill="1" applyBorder="1" applyAlignment="1">
      <alignment horizontal="justify" vertical="justify"/>
    </xf>
    <xf numFmtId="9" fontId="14" fillId="0" borderId="23" xfId="1" applyFont="1" applyFill="1" applyBorder="1" applyAlignment="1">
      <alignment horizontal="justify" vertical="justify"/>
    </xf>
    <xf numFmtId="9" fontId="14" fillId="0" borderId="0" xfId="0" applyNumberFormat="1" applyFont="1" applyAlignment="1">
      <alignment horizontal="left" vertical="center" wrapText="1"/>
    </xf>
    <xf numFmtId="0" fontId="9" fillId="0" borderId="22" xfId="2" applyFont="1" applyBorder="1" applyAlignment="1">
      <alignment vertical="center"/>
    </xf>
    <xf numFmtId="0" fontId="14" fillId="0" borderId="25" xfId="0" applyFont="1" applyBorder="1" applyAlignment="1">
      <alignment horizontal="left" vertical="center" wrapText="1"/>
    </xf>
    <xf numFmtId="0" fontId="14" fillId="0" borderId="23" xfId="0" applyFont="1" applyBorder="1" applyAlignment="1">
      <alignment horizontal="left" vertical="center" wrapText="1"/>
    </xf>
    <xf numFmtId="0" fontId="11" fillId="0" borderId="25" xfId="0" applyFont="1" applyBorder="1" applyAlignment="1">
      <alignment horizontal="left" vertical="center" wrapText="1"/>
    </xf>
    <xf numFmtId="0" fontId="14" fillId="0" borderId="22" xfId="0" applyFont="1" applyBorder="1" applyAlignment="1">
      <alignment horizontal="justify" vertical="justify" wrapText="1"/>
    </xf>
    <xf numFmtId="0" fontId="14" fillId="0" borderId="25" xfId="0" applyFont="1" applyBorder="1" applyAlignment="1">
      <alignment horizontal="justify" vertical="justify" wrapText="1"/>
    </xf>
    <xf numFmtId="0" fontId="14" fillId="0" borderId="23" xfId="0" applyFont="1" applyBorder="1" applyAlignment="1">
      <alignment horizontal="justify" vertical="justify" wrapText="1"/>
    </xf>
    <xf numFmtId="0" fontId="9" fillId="0" borderId="40" xfId="2" applyFont="1" applyBorder="1" applyAlignment="1">
      <alignment horizontal="left" vertical="center"/>
    </xf>
    <xf numFmtId="0" fontId="14" fillId="0" borderId="22" xfId="0" applyFont="1" applyBorder="1" applyAlignment="1">
      <alignment horizontal="left" vertical="center" wrapText="1"/>
    </xf>
    <xf numFmtId="0" fontId="14" fillId="0" borderId="25" xfId="0" applyFont="1" applyBorder="1" applyAlignment="1">
      <alignment horizontal="left" vertical="center" wrapText="1"/>
    </xf>
    <xf numFmtId="0" fontId="9" fillId="0" borderId="41" xfId="2" applyFont="1" applyBorder="1" applyAlignment="1">
      <alignment horizontal="left" vertical="center" wrapText="1"/>
    </xf>
    <xf numFmtId="0" fontId="14" fillId="0" borderId="18" xfId="0" applyFont="1" applyBorder="1" applyAlignment="1">
      <alignment horizontal="justify" vertical="justify" wrapText="1"/>
    </xf>
    <xf numFmtId="0" fontId="14" fillId="0" borderId="3" xfId="0" applyFont="1" applyBorder="1" applyAlignment="1">
      <alignment horizontal="justify" vertical="justify" wrapText="1"/>
    </xf>
    <xf numFmtId="0" fontId="14" fillId="0" borderId="20" xfId="0" applyFont="1" applyBorder="1" applyAlignment="1">
      <alignment horizontal="justify" vertical="justify" wrapText="1"/>
    </xf>
    <xf numFmtId="0" fontId="9" fillId="0" borderId="42" xfId="0" applyFont="1" applyBorder="1" applyAlignment="1">
      <alignment horizontal="left" vertical="center"/>
    </xf>
    <xf numFmtId="0" fontId="9" fillId="0" borderId="24" xfId="0" applyFont="1" applyBorder="1" applyAlignment="1">
      <alignment horizontal="justify" vertical="justify" wrapText="1"/>
    </xf>
    <xf numFmtId="0" fontId="9" fillId="0" borderId="25" xfId="0" applyFont="1" applyBorder="1" applyAlignment="1">
      <alignment horizontal="justify" vertical="justify" wrapText="1"/>
    </xf>
    <xf numFmtId="0" fontId="9" fillId="0" borderId="23" xfId="0" applyFont="1" applyBorder="1" applyAlignment="1">
      <alignment horizontal="justify" vertical="justify" wrapText="1"/>
    </xf>
    <xf numFmtId="0" fontId="9" fillId="0" borderId="0" xfId="0" applyFont="1" applyAlignment="1">
      <alignment horizontal="center" vertical="center" wrapText="1"/>
    </xf>
    <xf numFmtId="0" fontId="14" fillId="0" borderId="24" xfId="0" applyFont="1" applyBorder="1" applyAlignment="1">
      <alignment horizontal="justify" vertical="justify" wrapText="1"/>
    </xf>
    <xf numFmtId="0" fontId="14" fillId="0" borderId="0" xfId="0" applyFont="1" applyAlignment="1">
      <alignment vertical="top" wrapText="1"/>
    </xf>
    <xf numFmtId="0" fontId="9" fillId="0" borderId="42" xfId="0" applyFont="1" applyBorder="1" applyAlignment="1">
      <alignment horizontal="center" vertical="center"/>
    </xf>
    <xf numFmtId="0" fontId="9" fillId="0" borderId="24" xfId="0" applyFont="1" applyBorder="1" applyAlignment="1">
      <alignment vertical="center"/>
    </xf>
    <xf numFmtId="0" fontId="7" fillId="0" borderId="25" xfId="0" applyFont="1" applyBorder="1"/>
    <xf numFmtId="0" fontId="14" fillId="0" borderId="23" xfId="0" applyFont="1" applyBorder="1" applyAlignment="1">
      <alignment vertical="center"/>
    </xf>
    <xf numFmtId="0" fontId="14" fillId="0" borderId="0" xfId="0" applyFont="1" applyAlignment="1">
      <alignment vertical="center"/>
    </xf>
    <xf numFmtId="0" fontId="9" fillId="0" borderId="43" xfId="0" applyFont="1" applyBorder="1" applyAlignment="1">
      <alignment horizontal="center" vertical="center"/>
    </xf>
    <xf numFmtId="0" fontId="11" fillId="0" borderId="25" xfId="0" applyFont="1" applyBorder="1" applyAlignment="1">
      <alignment vertical="center"/>
    </xf>
    <xf numFmtId="0" fontId="9" fillId="0" borderId="34" xfId="0" applyFont="1" applyBorder="1" applyAlignment="1">
      <alignment horizontal="left" vertical="center"/>
    </xf>
    <xf numFmtId="0" fontId="9" fillId="0" borderId="22" xfId="0" applyFont="1" applyBorder="1" applyAlignment="1">
      <alignment horizontal="left" vertical="center"/>
    </xf>
    <xf numFmtId="0" fontId="9" fillId="0" borderId="25" xfId="0" applyFont="1" applyBorder="1" applyAlignment="1">
      <alignment horizontal="left" vertical="center"/>
    </xf>
    <xf numFmtId="0" fontId="27" fillId="0" borderId="23" xfId="0" applyFont="1" applyBorder="1" applyAlignment="1">
      <alignment horizontal="center" vertical="center" textRotation="90" wrapText="1"/>
    </xf>
    <xf numFmtId="0" fontId="9" fillId="0" borderId="0" xfId="0" applyFont="1" applyAlignment="1">
      <alignment vertical="center"/>
    </xf>
    <xf numFmtId="0" fontId="9" fillId="0" borderId="35" xfId="0" applyFont="1" applyBorder="1" applyAlignment="1">
      <alignment horizontal="left" vertical="center"/>
    </xf>
    <xf numFmtId="0" fontId="14" fillId="0" borderId="22" xfId="0" applyFont="1" applyBorder="1" applyAlignment="1">
      <alignment horizontal="justify" vertical="top" wrapText="1"/>
    </xf>
    <xf numFmtId="0" fontId="14" fillId="0" borderId="25" xfId="0" applyFont="1" applyBorder="1" applyAlignment="1">
      <alignment horizontal="justify" vertical="top" wrapText="1"/>
    </xf>
    <xf numFmtId="0" fontId="14" fillId="0" borderId="0" xfId="0" applyFont="1" applyAlignment="1">
      <alignment horizontal="left" vertical="top" wrapText="1"/>
    </xf>
    <xf numFmtId="0" fontId="9" fillId="2" borderId="35" xfId="0" applyFont="1" applyFill="1" applyBorder="1" applyAlignment="1">
      <alignment horizontal="left" vertical="center"/>
    </xf>
    <xf numFmtId="0" fontId="9" fillId="0" borderId="19" xfId="0" applyFont="1" applyBorder="1" applyAlignment="1">
      <alignment horizontal="left" vertical="center"/>
    </xf>
    <xf numFmtId="0" fontId="9" fillId="0" borderId="3" xfId="0" applyFont="1" applyBorder="1" applyAlignment="1">
      <alignment horizontal="left" vertical="center"/>
    </xf>
    <xf numFmtId="0" fontId="27" fillId="0" borderId="39" xfId="0" applyFont="1" applyBorder="1" applyAlignment="1">
      <alignment horizontal="center" vertical="center" textRotation="90" wrapText="1"/>
    </xf>
    <xf numFmtId="0" fontId="9" fillId="2" borderId="44" xfId="0" applyFont="1" applyFill="1" applyBorder="1" applyAlignment="1">
      <alignment horizontal="left" vertical="center"/>
    </xf>
    <xf numFmtId="0" fontId="14" fillId="0" borderId="12" xfId="0" applyFont="1" applyBorder="1" applyAlignment="1">
      <alignment horizontal="justify" vertical="top" wrapText="1"/>
    </xf>
    <xf numFmtId="0" fontId="14" fillId="0" borderId="15" xfId="0" applyFont="1" applyBorder="1" applyAlignment="1">
      <alignment horizontal="justify" vertical="top" wrapText="1"/>
    </xf>
    <xf numFmtId="0" fontId="27" fillId="0" borderId="37" xfId="0" applyFont="1" applyBorder="1" applyAlignment="1">
      <alignment horizontal="center" vertical="center" textRotation="90" wrapText="1"/>
    </xf>
    <xf numFmtId="0" fontId="14" fillId="0" borderId="0" xfId="0" applyFont="1" applyAlignment="1">
      <alignment horizontal="left" vertical="center"/>
    </xf>
    <xf numFmtId="0" fontId="14" fillId="0" borderId="0" xfId="0" applyFont="1"/>
  </cellXfs>
  <cellStyles count="6">
    <cellStyle name="Millares 2" xfId="4" xr:uid="{58C2BB80-D771-4354-88A6-EF1A585FC222}"/>
    <cellStyle name="Moneda 2" xfId="5" xr:uid="{6A6C218E-CD0D-4A1E-98A1-B1D713DA5F8B}"/>
    <cellStyle name="Normal" xfId="0" builtinId="0"/>
    <cellStyle name="Normal 2" xfId="2" xr:uid="{0DA5EAF9-6365-4EE2-A13A-8FA67A07D458}"/>
    <cellStyle name="Normal 47" xfId="3" xr:uid="{9158C628-8F40-406B-BF51-9D7B31E75E6D}"/>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0</xdr:row>
      <xdr:rowOff>0</xdr:rowOff>
    </xdr:from>
    <xdr:to>
      <xdr:col>1</xdr:col>
      <xdr:colOff>1781175</xdr:colOff>
      <xdr:row>2</xdr:row>
      <xdr:rowOff>9525</xdr:rowOff>
    </xdr:to>
    <xdr:pic>
      <xdr:nvPicPr>
        <xdr:cNvPr id="2" name="Imagen 2" descr="C:\Users\Usuario\Desktop\A AUDITORIAS\A AUDITORIAS\2018\LOGOS\Logo 1\3ANG_LOGO.png">
          <a:extLst>
            <a:ext uri="{FF2B5EF4-FFF2-40B4-BE49-F238E27FC236}">
              <a16:creationId xmlns:a16="http://schemas.microsoft.com/office/drawing/2014/main" id="{07DE6456-3255-45BE-9044-B8BDC061E7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5" y="0"/>
          <a:ext cx="1733550" cy="752475"/>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38100</xdr:rowOff>
    </xdr:from>
    <xdr:to>
      <xdr:col>6</xdr:col>
      <xdr:colOff>800100</xdr:colOff>
      <xdr:row>2</xdr:row>
      <xdr:rowOff>28575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ABDCF6B4-C564-4F13-A67F-609246A68362}"/>
            </a:ext>
          </a:extLst>
        </xdr:cNvPr>
        <xdr:cNvSpPr/>
      </xdr:nvSpPr>
      <xdr:spPr>
        <a:xfrm>
          <a:off x="10610850" y="38100"/>
          <a:ext cx="800100" cy="7334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2</xdr:col>
      <xdr:colOff>1247775</xdr:colOff>
      <xdr:row>3</xdr:row>
      <xdr:rowOff>0</xdr:rowOff>
    </xdr:to>
    <xdr:pic>
      <xdr:nvPicPr>
        <xdr:cNvPr id="2" name="Imagen 1" descr="C:\Users\Usuario\Desktop\A AUDITORIAS\A AUDITORIAS\2018\LOGOS\Logo 1\3ANG_LOGO.png">
          <a:extLst>
            <a:ext uri="{FF2B5EF4-FFF2-40B4-BE49-F238E27FC236}">
              <a16:creationId xmlns:a16="http://schemas.microsoft.com/office/drawing/2014/main" id="{7E87530A-ACE5-472D-B85B-1C9B8BE2E82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28724" cy="628650"/>
        </a:xfrm>
        <a:prstGeom prst="rect">
          <a:avLst/>
        </a:prstGeom>
        <a:noFill/>
        <a:ln>
          <a:noFill/>
        </a:ln>
      </xdr:spPr>
    </xdr:pic>
    <xdr:clientData/>
  </xdr:twoCellAnchor>
  <xdr:twoCellAnchor>
    <xdr:from>
      <xdr:col>18</xdr:col>
      <xdr:colOff>0</xdr:colOff>
      <xdr:row>1</xdr:row>
      <xdr:rowOff>0</xdr:rowOff>
    </xdr:from>
    <xdr:to>
      <xdr:col>19</xdr:col>
      <xdr:colOff>38100</xdr:colOff>
      <xdr:row>3</xdr:row>
      <xdr:rowOff>85725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7F0B5184-27B1-4019-8F89-60869D786ACB}"/>
            </a:ext>
          </a:extLst>
        </xdr:cNvPr>
        <xdr:cNvSpPr/>
      </xdr:nvSpPr>
      <xdr:spPr>
        <a:xfrm>
          <a:off x="9629775" y="26670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554BF-3B0A-4DB4-A7BA-A042E4087A58}">
  <sheetPr>
    <tabColor rgb="FFFF0000"/>
    <pageSetUpPr fitToPage="1"/>
  </sheetPr>
  <dimension ref="A1:S35"/>
  <sheetViews>
    <sheetView tabSelected="1" view="pageBreakPreview" zoomScaleNormal="100" zoomScaleSheetLayoutView="100" workbookViewId="0">
      <selection activeCell="C10" sqref="C10:E10"/>
    </sheetView>
  </sheetViews>
  <sheetFormatPr baseColWidth="10" defaultRowHeight="18.75" customHeight="1" x14ac:dyDescent="0.25"/>
  <cols>
    <col min="1" max="1" width="3.7109375" style="95" customWidth="1"/>
    <col min="2" max="2" width="27.42578125" style="178" customWidth="1"/>
    <col min="3" max="3" width="15.85546875" style="158" customWidth="1"/>
    <col min="4" max="4" width="82" style="179" customWidth="1"/>
    <col min="5" max="5" width="13.7109375" style="9" customWidth="1"/>
    <col min="6" max="6" width="16.42578125" style="9" customWidth="1"/>
    <col min="7" max="7" width="22.28515625" style="9" customWidth="1"/>
    <col min="8" max="8" width="21.28515625" style="9" customWidth="1"/>
    <col min="9" max="256" width="11.42578125" style="9"/>
    <col min="257" max="257" width="3.7109375" style="9" customWidth="1"/>
    <col min="258" max="258" width="27.42578125" style="9" customWidth="1"/>
    <col min="259" max="259" width="15.85546875" style="9" customWidth="1"/>
    <col min="260" max="260" width="82" style="9" customWidth="1"/>
    <col min="261" max="261" width="13.7109375" style="9" customWidth="1"/>
    <col min="262" max="262" width="16.42578125" style="9" customWidth="1"/>
    <col min="263" max="263" width="22.28515625" style="9" customWidth="1"/>
    <col min="264" max="264" width="21.28515625" style="9" customWidth="1"/>
    <col min="265" max="512" width="11.42578125" style="9"/>
    <col min="513" max="513" width="3.7109375" style="9" customWidth="1"/>
    <col min="514" max="514" width="27.42578125" style="9" customWidth="1"/>
    <col min="515" max="515" width="15.85546875" style="9" customWidth="1"/>
    <col min="516" max="516" width="82" style="9" customWidth="1"/>
    <col min="517" max="517" width="13.7109375" style="9" customWidth="1"/>
    <col min="518" max="518" width="16.42578125" style="9" customWidth="1"/>
    <col min="519" max="519" width="22.28515625" style="9" customWidth="1"/>
    <col min="520" max="520" width="21.28515625" style="9" customWidth="1"/>
    <col min="521" max="768" width="11.42578125" style="9"/>
    <col min="769" max="769" width="3.7109375" style="9" customWidth="1"/>
    <col min="770" max="770" width="27.42578125" style="9" customWidth="1"/>
    <col min="771" max="771" width="15.85546875" style="9" customWidth="1"/>
    <col min="772" max="772" width="82" style="9" customWidth="1"/>
    <col min="773" max="773" width="13.7109375" style="9" customWidth="1"/>
    <col min="774" max="774" width="16.42578125" style="9" customWidth="1"/>
    <col min="775" max="775" width="22.28515625" style="9" customWidth="1"/>
    <col min="776" max="776" width="21.28515625" style="9" customWidth="1"/>
    <col min="777" max="1024" width="11.42578125" style="9"/>
    <col min="1025" max="1025" width="3.7109375" style="9" customWidth="1"/>
    <col min="1026" max="1026" width="27.42578125" style="9" customWidth="1"/>
    <col min="1027" max="1027" width="15.85546875" style="9" customWidth="1"/>
    <col min="1028" max="1028" width="82" style="9" customWidth="1"/>
    <col min="1029" max="1029" width="13.7109375" style="9" customWidth="1"/>
    <col min="1030" max="1030" width="16.42578125" style="9" customWidth="1"/>
    <col min="1031" max="1031" width="22.28515625" style="9" customWidth="1"/>
    <col min="1032" max="1032" width="21.28515625" style="9" customWidth="1"/>
    <col min="1033" max="1280" width="11.42578125" style="9"/>
    <col min="1281" max="1281" width="3.7109375" style="9" customWidth="1"/>
    <col min="1282" max="1282" width="27.42578125" style="9" customWidth="1"/>
    <col min="1283" max="1283" width="15.85546875" style="9" customWidth="1"/>
    <col min="1284" max="1284" width="82" style="9" customWidth="1"/>
    <col min="1285" max="1285" width="13.7109375" style="9" customWidth="1"/>
    <col min="1286" max="1286" width="16.42578125" style="9" customWidth="1"/>
    <col min="1287" max="1287" width="22.28515625" style="9" customWidth="1"/>
    <col min="1288" max="1288" width="21.28515625" style="9" customWidth="1"/>
    <col min="1289" max="1536" width="11.42578125" style="9"/>
    <col min="1537" max="1537" width="3.7109375" style="9" customWidth="1"/>
    <col min="1538" max="1538" width="27.42578125" style="9" customWidth="1"/>
    <col min="1539" max="1539" width="15.85546875" style="9" customWidth="1"/>
    <col min="1540" max="1540" width="82" style="9" customWidth="1"/>
    <col min="1541" max="1541" width="13.7109375" style="9" customWidth="1"/>
    <col min="1542" max="1542" width="16.42578125" style="9" customWidth="1"/>
    <col min="1543" max="1543" width="22.28515625" style="9" customWidth="1"/>
    <col min="1544" max="1544" width="21.28515625" style="9" customWidth="1"/>
    <col min="1545" max="1792" width="11.42578125" style="9"/>
    <col min="1793" max="1793" width="3.7109375" style="9" customWidth="1"/>
    <col min="1794" max="1794" width="27.42578125" style="9" customWidth="1"/>
    <col min="1795" max="1795" width="15.85546875" style="9" customWidth="1"/>
    <col min="1796" max="1796" width="82" style="9" customWidth="1"/>
    <col min="1797" max="1797" width="13.7109375" style="9" customWidth="1"/>
    <col min="1798" max="1798" width="16.42578125" style="9" customWidth="1"/>
    <col min="1799" max="1799" width="22.28515625" style="9" customWidth="1"/>
    <col min="1800" max="1800" width="21.28515625" style="9" customWidth="1"/>
    <col min="1801" max="2048" width="11.42578125" style="9"/>
    <col min="2049" max="2049" width="3.7109375" style="9" customWidth="1"/>
    <col min="2050" max="2050" width="27.42578125" style="9" customWidth="1"/>
    <col min="2051" max="2051" width="15.85546875" style="9" customWidth="1"/>
    <col min="2052" max="2052" width="82" style="9" customWidth="1"/>
    <col min="2053" max="2053" width="13.7109375" style="9" customWidth="1"/>
    <col min="2054" max="2054" width="16.42578125" style="9" customWidth="1"/>
    <col min="2055" max="2055" width="22.28515625" style="9" customWidth="1"/>
    <col min="2056" max="2056" width="21.28515625" style="9" customWidth="1"/>
    <col min="2057" max="2304" width="11.42578125" style="9"/>
    <col min="2305" max="2305" width="3.7109375" style="9" customWidth="1"/>
    <col min="2306" max="2306" width="27.42578125" style="9" customWidth="1"/>
    <col min="2307" max="2307" width="15.85546875" style="9" customWidth="1"/>
    <col min="2308" max="2308" width="82" style="9" customWidth="1"/>
    <col min="2309" max="2309" width="13.7109375" style="9" customWidth="1"/>
    <col min="2310" max="2310" width="16.42578125" style="9" customWidth="1"/>
    <col min="2311" max="2311" width="22.28515625" style="9" customWidth="1"/>
    <col min="2312" max="2312" width="21.28515625" style="9" customWidth="1"/>
    <col min="2313" max="2560" width="11.42578125" style="9"/>
    <col min="2561" max="2561" width="3.7109375" style="9" customWidth="1"/>
    <col min="2562" max="2562" width="27.42578125" style="9" customWidth="1"/>
    <col min="2563" max="2563" width="15.85546875" style="9" customWidth="1"/>
    <col min="2564" max="2564" width="82" style="9" customWidth="1"/>
    <col min="2565" max="2565" width="13.7109375" style="9" customWidth="1"/>
    <col min="2566" max="2566" width="16.42578125" style="9" customWidth="1"/>
    <col min="2567" max="2567" width="22.28515625" style="9" customWidth="1"/>
    <col min="2568" max="2568" width="21.28515625" style="9" customWidth="1"/>
    <col min="2569" max="2816" width="11.42578125" style="9"/>
    <col min="2817" max="2817" width="3.7109375" style="9" customWidth="1"/>
    <col min="2818" max="2818" width="27.42578125" style="9" customWidth="1"/>
    <col min="2819" max="2819" width="15.85546875" style="9" customWidth="1"/>
    <col min="2820" max="2820" width="82" style="9" customWidth="1"/>
    <col min="2821" max="2821" width="13.7109375" style="9" customWidth="1"/>
    <col min="2822" max="2822" width="16.42578125" style="9" customWidth="1"/>
    <col min="2823" max="2823" width="22.28515625" style="9" customWidth="1"/>
    <col min="2824" max="2824" width="21.28515625" style="9" customWidth="1"/>
    <col min="2825" max="3072" width="11.42578125" style="9"/>
    <col min="3073" max="3073" width="3.7109375" style="9" customWidth="1"/>
    <col min="3074" max="3074" width="27.42578125" style="9" customWidth="1"/>
    <col min="3075" max="3075" width="15.85546875" style="9" customWidth="1"/>
    <col min="3076" max="3076" width="82" style="9" customWidth="1"/>
    <col min="3077" max="3077" width="13.7109375" style="9" customWidth="1"/>
    <col min="3078" max="3078" width="16.42578125" style="9" customWidth="1"/>
    <col min="3079" max="3079" width="22.28515625" style="9" customWidth="1"/>
    <col min="3080" max="3080" width="21.28515625" style="9" customWidth="1"/>
    <col min="3081" max="3328" width="11.42578125" style="9"/>
    <col min="3329" max="3329" width="3.7109375" style="9" customWidth="1"/>
    <col min="3330" max="3330" width="27.42578125" style="9" customWidth="1"/>
    <col min="3331" max="3331" width="15.85546875" style="9" customWidth="1"/>
    <col min="3332" max="3332" width="82" style="9" customWidth="1"/>
    <col min="3333" max="3333" width="13.7109375" style="9" customWidth="1"/>
    <col min="3334" max="3334" width="16.42578125" style="9" customWidth="1"/>
    <col min="3335" max="3335" width="22.28515625" style="9" customWidth="1"/>
    <col min="3336" max="3336" width="21.28515625" style="9" customWidth="1"/>
    <col min="3337" max="3584" width="11.42578125" style="9"/>
    <col min="3585" max="3585" width="3.7109375" style="9" customWidth="1"/>
    <col min="3586" max="3586" width="27.42578125" style="9" customWidth="1"/>
    <col min="3587" max="3587" width="15.85546875" style="9" customWidth="1"/>
    <col min="3588" max="3588" width="82" style="9" customWidth="1"/>
    <col min="3589" max="3589" width="13.7109375" style="9" customWidth="1"/>
    <col min="3590" max="3590" width="16.42578125" style="9" customWidth="1"/>
    <col min="3591" max="3591" width="22.28515625" style="9" customWidth="1"/>
    <col min="3592" max="3592" width="21.28515625" style="9" customWidth="1"/>
    <col min="3593" max="3840" width="11.42578125" style="9"/>
    <col min="3841" max="3841" width="3.7109375" style="9" customWidth="1"/>
    <col min="3842" max="3842" width="27.42578125" style="9" customWidth="1"/>
    <col min="3843" max="3843" width="15.85546875" style="9" customWidth="1"/>
    <col min="3844" max="3844" width="82" style="9" customWidth="1"/>
    <col min="3845" max="3845" width="13.7109375" style="9" customWidth="1"/>
    <col min="3846" max="3846" width="16.42578125" style="9" customWidth="1"/>
    <col min="3847" max="3847" width="22.28515625" style="9" customWidth="1"/>
    <col min="3848" max="3848" width="21.28515625" style="9" customWidth="1"/>
    <col min="3849" max="4096" width="11.42578125" style="9"/>
    <col min="4097" max="4097" width="3.7109375" style="9" customWidth="1"/>
    <col min="4098" max="4098" width="27.42578125" style="9" customWidth="1"/>
    <col min="4099" max="4099" width="15.85546875" style="9" customWidth="1"/>
    <col min="4100" max="4100" width="82" style="9" customWidth="1"/>
    <col min="4101" max="4101" width="13.7109375" style="9" customWidth="1"/>
    <col min="4102" max="4102" width="16.42578125" style="9" customWidth="1"/>
    <col min="4103" max="4103" width="22.28515625" style="9" customWidth="1"/>
    <col min="4104" max="4104" width="21.28515625" style="9" customWidth="1"/>
    <col min="4105" max="4352" width="11.42578125" style="9"/>
    <col min="4353" max="4353" width="3.7109375" style="9" customWidth="1"/>
    <col min="4354" max="4354" width="27.42578125" style="9" customWidth="1"/>
    <col min="4355" max="4355" width="15.85546875" style="9" customWidth="1"/>
    <col min="4356" max="4356" width="82" style="9" customWidth="1"/>
    <col min="4357" max="4357" width="13.7109375" style="9" customWidth="1"/>
    <col min="4358" max="4358" width="16.42578125" style="9" customWidth="1"/>
    <col min="4359" max="4359" width="22.28515625" style="9" customWidth="1"/>
    <col min="4360" max="4360" width="21.28515625" style="9" customWidth="1"/>
    <col min="4361" max="4608" width="11.42578125" style="9"/>
    <col min="4609" max="4609" width="3.7109375" style="9" customWidth="1"/>
    <col min="4610" max="4610" width="27.42578125" style="9" customWidth="1"/>
    <col min="4611" max="4611" width="15.85546875" style="9" customWidth="1"/>
    <col min="4612" max="4612" width="82" style="9" customWidth="1"/>
    <col min="4613" max="4613" width="13.7109375" style="9" customWidth="1"/>
    <col min="4614" max="4614" width="16.42578125" style="9" customWidth="1"/>
    <col min="4615" max="4615" width="22.28515625" style="9" customWidth="1"/>
    <col min="4616" max="4616" width="21.28515625" style="9" customWidth="1"/>
    <col min="4617" max="4864" width="11.42578125" style="9"/>
    <col min="4865" max="4865" width="3.7109375" style="9" customWidth="1"/>
    <col min="4866" max="4866" width="27.42578125" style="9" customWidth="1"/>
    <col min="4867" max="4867" width="15.85546875" style="9" customWidth="1"/>
    <col min="4868" max="4868" width="82" style="9" customWidth="1"/>
    <col min="4869" max="4869" width="13.7109375" style="9" customWidth="1"/>
    <col min="4870" max="4870" width="16.42578125" style="9" customWidth="1"/>
    <col min="4871" max="4871" width="22.28515625" style="9" customWidth="1"/>
    <col min="4872" max="4872" width="21.28515625" style="9" customWidth="1"/>
    <col min="4873" max="5120" width="11.42578125" style="9"/>
    <col min="5121" max="5121" width="3.7109375" style="9" customWidth="1"/>
    <col min="5122" max="5122" width="27.42578125" style="9" customWidth="1"/>
    <col min="5123" max="5123" width="15.85546875" style="9" customWidth="1"/>
    <col min="5124" max="5124" width="82" style="9" customWidth="1"/>
    <col min="5125" max="5125" width="13.7109375" style="9" customWidth="1"/>
    <col min="5126" max="5126" width="16.42578125" style="9" customWidth="1"/>
    <col min="5127" max="5127" width="22.28515625" style="9" customWidth="1"/>
    <col min="5128" max="5128" width="21.28515625" style="9" customWidth="1"/>
    <col min="5129" max="5376" width="11.42578125" style="9"/>
    <col min="5377" max="5377" width="3.7109375" style="9" customWidth="1"/>
    <col min="5378" max="5378" width="27.42578125" style="9" customWidth="1"/>
    <col min="5379" max="5379" width="15.85546875" style="9" customWidth="1"/>
    <col min="5380" max="5380" width="82" style="9" customWidth="1"/>
    <col min="5381" max="5381" width="13.7109375" style="9" customWidth="1"/>
    <col min="5382" max="5382" width="16.42578125" style="9" customWidth="1"/>
    <col min="5383" max="5383" width="22.28515625" style="9" customWidth="1"/>
    <col min="5384" max="5384" width="21.28515625" style="9" customWidth="1"/>
    <col min="5385" max="5632" width="11.42578125" style="9"/>
    <col min="5633" max="5633" width="3.7109375" style="9" customWidth="1"/>
    <col min="5634" max="5634" width="27.42578125" style="9" customWidth="1"/>
    <col min="5635" max="5635" width="15.85546875" style="9" customWidth="1"/>
    <col min="5636" max="5636" width="82" style="9" customWidth="1"/>
    <col min="5637" max="5637" width="13.7109375" style="9" customWidth="1"/>
    <col min="5638" max="5638" width="16.42578125" style="9" customWidth="1"/>
    <col min="5639" max="5639" width="22.28515625" style="9" customWidth="1"/>
    <col min="5640" max="5640" width="21.28515625" style="9" customWidth="1"/>
    <col min="5641" max="5888" width="11.42578125" style="9"/>
    <col min="5889" max="5889" width="3.7109375" style="9" customWidth="1"/>
    <col min="5890" max="5890" width="27.42578125" style="9" customWidth="1"/>
    <col min="5891" max="5891" width="15.85546875" style="9" customWidth="1"/>
    <col min="5892" max="5892" width="82" style="9" customWidth="1"/>
    <col min="5893" max="5893" width="13.7109375" style="9" customWidth="1"/>
    <col min="5894" max="5894" width="16.42578125" style="9" customWidth="1"/>
    <col min="5895" max="5895" width="22.28515625" style="9" customWidth="1"/>
    <col min="5896" max="5896" width="21.28515625" style="9" customWidth="1"/>
    <col min="5897" max="6144" width="11.42578125" style="9"/>
    <col min="6145" max="6145" width="3.7109375" style="9" customWidth="1"/>
    <col min="6146" max="6146" width="27.42578125" style="9" customWidth="1"/>
    <col min="6147" max="6147" width="15.85546875" style="9" customWidth="1"/>
    <col min="6148" max="6148" width="82" style="9" customWidth="1"/>
    <col min="6149" max="6149" width="13.7109375" style="9" customWidth="1"/>
    <col min="6150" max="6150" width="16.42578125" style="9" customWidth="1"/>
    <col min="6151" max="6151" width="22.28515625" style="9" customWidth="1"/>
    <col min="6152" max="6152" width="21.28515625" style="9" customWidth="1"/>
    <col min="6153" max="6400" width="11.42578125" style="9"/>
    <col min="6401" max="6401" width="3.7109375" style="9" customWidth="1"/>
    <col min="6402" max="6402" width="27.42578125" style="9" customWidth="1"/>
    <col min="6403" max="6403" width="15.85546875" style="9" customWidth="1"/>
    <col min="6404" max="6404" width="82" style="9" customWidth="1"/>
    <col min="6405" max="6405" width="13.7109375" style="9" customWidth="1"/>
    <col min="6406" max="6406" width="16.42578125" style="9" customWidth="1"/>
    <col min="6407" max="6407" width="22.28515625" style="9" customWidth="1"/>
    <col min="6408" max="6408" width="21.28515625" style="9" customWidth="1"/>
    <col min="6409" max="6656" width="11.42578125" style="9"/>
    <col min="6657" max="6657" width="3.7109375" style="9" customWidth="1"/>
    <col min="6658" max="6658" width="27.42578125" style="9" customWidth="1"/>
    <col min="6659" max="6659" width="15.85546875" style="9" customWidth="1"/>
    <col min="6660" max="6660" width="82" style="9" customWidth="1"/>
    <col min="6661" max="6661" width="13.7109375" style="9" customWidth="1"/>
    <col min="6662" max="6662" width="16.42578125" style="9" customWidth="1"/>
    <col min="6663" max="6663" width="22.28515625" style="9" customWidth="1"/>
    <col min="6664" max="6664" width="21.28515625" style="9" customWidth="1"/>
    <col min="6665" max="6912" width="11.42578125" style="9"/>
    <col min="6913" max="6913" width="3.7109375" style="9" customWidth="1"/>
    <col min="6914" max="6914" width="27.42578125" style="9" customWidth="1"/>
    <col min="6915" max="6915" width="15.85546875" style="9" customWidth="1"/>
    <col min="6916" max="6916" width="82" style="9" customWidth="1"/>
    <col min="6917" max="6917" width="13.7109375" style="9" customWidth="1"/>
    <col min="6918" max="6918" width="16.42578125" style="9" customWidth="1"/>
    <col min="6919" max="6919" width="22.28515625" style="9" customWidth="1"/>
    <col min="6920" max="6920" width="21.28515625" style="9" customWidth="1"/>
    <col min="6921" max="7168" width="11.42578125" style="9"/>
    <col min="7169" max="7169" width="3.7109375" style="9" customWidth="1"/>
    <col min="7170" max="7170" width="27.42578125" style="9" customWidth="1"/>
    <col min="7171" max="7171" width="15.85546875" style="9" customWidth="1"/>
    <col min="7172" max="7172" width="82" style="9" customWidth="1"/>
    <col min="7173" max="7173" width="13.7109375" style="9" customWidth="1"/>
    <col min="7174" max="7174" width="16.42578125" style="9" customWidth="1"/>
    <col min="7175" max="7175" width="22.28515625" style="9" customWidth="1"/>
    <col min="7176" max="7176" width="21.28515625" style="9" customWidth="1"/>
    <col min="7177" max="7424" width="11.42578125" style="9"/>
    <col min="7425" max="7425" width="3.7109375" style="9" customWidth="1"/>
    <col min="7426" max="7426" width="27.42578125" style="9" customWidth="1"/>
    <col min="7427" max="7427" width="15.85546875" style="9" customWidth="1"/>
    <col min="7428" max="7428" width="82" style="9" customWidth="1"/>
    <col min="7429" max="7429" width="13.7109375" style="9" customWidth="1"/>
    <col min="7430" max="7430" width="16.42578125" style="9" customWidth="1"/>
    <col min="7431" max="7431" width="22.28515625" style="9" customWidth="1"/>
    <col min="7432" max="7432" width="21.28515625" style="9" customWidth="1"/>
    <col min="7433" max="7680" width="11.42578125" style="9"/>
    <col min="7681" max="7681" width="3.7109375" style="9" customWidth="1"/>
    <col min="7682" max="7682" width="27.42578125" style="9" customWidth="1"/>
    <col min="7683" max="7683" width="15.85546875" style="9" customWidth="1"/>
    <col min="7684" max="7684" width="82" style="9" customWidth="1"/>
    <col min="7685" max="7685" width="13.7109375" style="9" customWidth="1"/>
    <col min="7686" max="7686" width="16.42578125" style="9" customWidth="1"/>
    <col min="7687" max="7687" width="22.28515625" style="9" customWidth="1"/>
    <col min="7688" max="7688" width="21.28515625" style="9" customWidth="1"/>
    <col min="7689" max="7936" width="11.42578125" style="9"/>
    <col min="7937" max="7937" width="3.7109375" style="9" customWidth="1"/>
    <col min="7938" max="7938" width="27.42578125" style="9" customWidth="1"/>
    <col min="7939" max="7939" width="15.85546875" style="9" customWidth="1"/>
    <col min="7940" max="7940" width="82" style="9" customWidth="1"/>
    <col min="7941" max="7941" width="13.7109375" style="9" customWidth="1"/>
    <col min="7942" max="7942" width="16.42578125" style="9" customWidth="1"/>
    <col min="7943" max="7943" width="22.28515625" style="9" customWidth="1"/>
    <col min="7944" max="7944" width="21.28515625" style="9" customWidth="1"/>
    <col min="7945" max="8192" width="11.42578125" style="9"/>
    <col min="8193" max="8193" width="3.7109375" style="9" customWidth="1"/>
    <col min="8194" max="8194" width="27.42578125" style="9" customWidth="1"/>
    <col min="8195" max="8195" width="15.85546875" style="9" customWidth="1"/>
    <col min="8196" max="8196" width="82" style="9" customWidth="1"/>
    <col min="8197" max="8197" width="13.7109375" style="9" customWidth="1"/>
    <col min="8198" max="8198" width="16.42578125" style="9" customWidth="1"/>
    <col min="8199" max="8199" width="22.28515625" style="9" customWidth="1"/>
    <col min="8200" max="8200" width="21.28515625" style="9" customWidth="1"/>
    <col min="8201" max="8448" width="11.42578125" style="9"/>
    <col min="8449" max="8449" width="3.7109375" style="9" customWidth="1"/>
    <col min="8450" max="8450" width="27.42578125" style="9" customWidth="1"/>
    <col min="8451" max="8451" width="15.85546875" style="9" customWidth="1"/>
    <col min="8452" max="8452" width="82" style="9" customWidth="1"/>
    <col min="8453" max="8453" width="13.7109375" style="9" customWidth="1"/>
    <col min="8454" max="8454" width="16.42578125" style="9" customWidth="1"/>
    <col min="8455" max="8455" width="22.28515625" style="9" customWidth="1"/>
    <col min="8456" max="8456" width="21.28515625" style="9" customWidth="1"/>
    <col min="8457" max="8704" width="11.42578125" style="9"/>
    <col min="8705" max="8705" width="3.7109375" style="9" customWidth="1"/>
    <col min="8706" max="8706" width="27.42578125" style="9" customWidth="1"/>
    <col min="8707" max="8707" width="15.85546875" style="9" customWidth="1"/>
    <col min="8708" max="8708" width="82" style="9" customWidth="1"/>
    <col min="8709" max="8709" width="13.7109375" style="9" customWidth="1"/>
    <col min="8710" max="8710" width="16.42578125" style="9" customWidth="1"/>
    <col min="8711" max="8711" width="22.28515625" style="9" customWidth="1"/>
    <col min="8712" max="8712" width="21.28515625" style="9" customWidth="1"/>
    <col min="8713" max="8960" width="11.42578125" style="9"/>
    <col min="8961" max="8961" width="3.7109375" style="9" customWidth="1"/>
    <col min="8962" max="8962" width="27.42578125" style="9" customWidth="1"/>
    <col min="8963" max="8963" width="15.85546875" style="9" customWidth="1"/>
    <col min="8964" max="8964" width="82" style="9" customWidth="1"/>
    <col min="8965" max="8965" width="13.7109375" style="9" customWidth="1"/>
    <col min="8966" max="8966" width="16.42578125" style="9" customWidth="1"/>
    <col min="8967" max="8967" width="22.28515625" style="9" customWidth="1"/>
    <col min="8968" max="8968" width="21.28515625" style="9" customWidth="1"/>
    <col min="8969" max="9216" width="11.42578125" style="9"/>
    <col min="9217" max="9217" width="3.7109375" style="9" customWidth="1"/>
    <col min="9218" max="9218" width="27.42578125" style="9" customWidth="1"/>
    <col min="9219" max="9219" width="15.85546875" style="9" customWidth="1"/>
    <col min="9220" max="9220" width="82" style="9" customWidth="1"/>
    <col min="9221" max="9221" width="13.7109375" style="9" customWidth="1"/>
    <col min="9222" max="9222" width="16.42578125" style="9" customWidth="1"/>
    <col min="9223" max="9223" width="22.28515625" style="9" customWidth="1"/>
    <col min="9224" max="9224" width="21.28515625" style="9" customWidth="1"/>
    <col min="9225" max="9472" width="11.42578125" style="9"/>
    <col min="9473" max="9473" width="3.7109375" style="9" customWidth="1"/>
    <col min="9474" max="9474" width="27.42578125" style="9" customWidth="1"/>
    <col min="9475" max="9475" width="15.85546875" style="9" customWidth="1"/>
    <col min="9476" max="9476" width="82" style="9" customWidth="1"/>
    <col min="9477" max="9477" width="13.7109375" style="9" customWidth="1"/>
    <col min="9478" max="9478" width="16.42578125" style="9" customWidth="1"/>
    <col min="9479" max="9479" width="22.28515625" style="9" customWidth="1"/>
    <col min="9480" max="9480" width="21.28515625" style="9" customWidth="1"/>
    <col min="9481" max="9728" width="11.42578125" style="9"/>
    <col min="9729" max="9729" width="3.7109375" style="9" customWidth="1"/>
    <col min="9730" max="9730" width="27.42578125" style="9" customWidth="1"/>
    <col min="9731" max="9731" width="15.85546875" style="9" customWidth="1"/>
    <col min="9732" max="9732" width="82" style="9" customWidth="1"/>
    <col min="9733" max="9733" width="13.7109375" style="9" customWidth="1"/>
    <col min="9734" max="9734" width="16.42578125" style="9" customWidth="1"/>
    <col min="9735" max="9735" width="22.28515625" style="9" customWidth="1"/>
    <col min="9736" max="9736" width="21.28515625" style="9" customWidth="1"/>
    <col min="9737" max="9984" width="11.42578125" style="9"/>
    <col min="9985" max="9985" width="3.7109375" style="9" customWidth="1"/>
    <col min="9986" max="9986" width="27.42578125" style="9" customWidth="1"/>
    <col min="9987" max="9987" width="15.85546875" style="9" customWidth="1"/>
    <col min="9988" max="9988" width="82" style="9" customWidth="1"/>
    <col min="9989" max="9989" width="13.7109375" style="9" customWidth="1"/>
    <col min="9990" max="9990" width="16.42578125" style="9" customWidth="1"/>
    <col min="9991" max="9991" width="22.28515625" style="9" customWidth="1"/>
    <col min="9992" max="9992" width="21.28515625" style="9" customWidth="1"/>
    <col min="9993" max="10240" width="11.42578125" style="9"/>
    <col min="10241" max="10241" width="3.7109375" style="9" customWidth="1"/>
    <col min="10242" max="10242" width="27.42578125" style="9" customWidth="1"/>
    <col min="10243" max="10243" width="15.85546875" style="9" customWidth="1"/>
    <col min="10244" max="10244" width="82" style="9" customWidth="1"/>
    <col min="10245" max="10245" width="13.7109375" style="9" customWidth="1"/>
    <col min="10246" max="10246" width="16.42578125" style="9" customWidth="1"/>
    <col min="10247" max="10247" width="22.28515625" style="9" customWidth="1"/>
    <col min="10248" max="10248" width="21.28515625" style="9" customWidth="1"/>
    <col min="10249" max="10496" width="11.42578125" style="9"/>
    <col min="10497" max="10497" width="3.7109375" style="9" customWidth="1"/>
    <col min="10498" max="10498" width="27.42578125" style="9" customWidth="1"/>
    <col min="10499" max="10499" width="15.85546875" style="9" customWidth="1"/>
    <col min="10500" max="10500" width="82" style="9" customWidth="1"/>
    <col min="10501" max="10501" width="13.7109375" style="9" customWidth="1"/>
    <col min="10502" max="10502" width="16.42578125" style="9" customWidth="1"/>
    <col min="10503" max="10503" width="22.28515625" style="9" customWidth="1"/>
    <col min="10504" max="10504" width="21.28515625" style="9" customWidth="1"/>
    <col min="10505" max="10752" width="11.42578125" style="9"/>
    <col min="10753" max="10753" width="3.7109375" style="9" customWidth="1"/>
    <col min="10754" max="10754" width="27.42578125" style="9" customWidth="1"/>
    <col min="10755" max="10755" width="15.85546875" style="9" customWidth="1"/>
    <col min="10756" max="10756" width="82" style="9" customWidth="1"/>
    <col min="10757" max="10757" width="13.7109375" style="9" customWidth="1"/>
    <col min="10758" max="10758" width="16.42578125" style="9" customWidth="1"/>
    <col min="10759" max="10759" width="22.28515625" style="9" customWidth="1"/>
    <col min="10760" max="10760" width="21.28515625" style="9" customWidth="1"/>
    <col min="10761" max="11008" width="11.42578125" style="9"/>
    <col min="11009" max="11009" width="3.7109375" style="9" customWidth="1"/>
    <col min="11010" max="11010" width="27.42578125" style="9" customWidth="1"/>
    <col min="11011" max="11011" width="15.85546875" style="9" customWidth="1"/>
    <col min="11012" max="11012" width="82" style="9" customWidth="1"/>
    <col min="11013" max="11013" width="13.7109375" style="9" customWidth="1"/>
    <col min="11014" max="11014" width="16.42578125" style="9" customWidth="1"/>
    <col min="11015" max="11015" width="22.28515625" style="9" customWidth="1"/>
    <col min="11016" max="11016" width="21.28515625" style="9" customWidth="1"/>
    <col min="11017" max="11264" width="11.42578125" style="9"/>
    <col min="11265" max="11265" width="3.7109375" style="9" customWidth="1"/>
    <col min="11266" max="11266" width="27.42578125" style="9" customWidth="1"/>
    <col min="11267" max="11267" width="15.85546875" style="9" customWidth="1"/>
    <col min="11268" max="11268" width="82" style="9" customWidth="1"/>
    <col min="11269" max="11269" width="13.7109375" style="9" customWidth="1"/>
    <col min="11270" max="11270" width="16.42578125" style="9" customWidth="1"/>
    <col min="11271" max="11271" width="22.28515625" style="9" customWidth="1"/>
    <col min="11272" max="11272" width="21.28515625" style="9" customWidth="1"/>
    <col min="11273" max="11520" width="11.42578125" style="9"/>
    <col min="11521" max="11521" width="3.7109375" style="9" customWidth="1"/>
    <col min="11522" max="11522" width="27.42578125" style="9" customWidth="1"/>
    <col min="11523" max="11523" width="15.85546875" style="9" customWidth="1"/>
    <col min="11524" max="11524" width="82" style="9" customWidth="1"/>
    <col min="11525" max="11525" width="13.7109375" style="9" customWidth="1"/>
    <col min="11526" max="11526" width="16.42578125" style="9" customWidth="1"/>
    <col min="11527" max="11527" width="22.28515625" style="9" customWidth="1"/>
    <col min="11528" max="11528" width="21.28515625" style="9" customWidth="1"/>
    <col min="11529" max="11776" width="11.42578125" style="9"/>
    <col min="11777" max="11777" width="3.7109375" style="9" customWidth="1"/>
    <col min="11778" max="11778" width="27.42578125" style="9" customWidth="1"/>
    <col min="11779" max="11779" width="15.85546875" style="9" customWidth="1"/>
    <col min="11780" max="11780" width="82" style="9" customWidth="1"/>
    <col min="11781" max="11781" width="13.7109375" style="9" customWidth="1"/>
    <col min="11782" max="11782" width="16.42578125" style="9" customWidth="1"/>
    <col min="11783" max="11783" width="22.28515625" style="9" customWidth="1"/>
    <col min="11784" max="11784" width="21.28515625" style="9" customWidth="1"/>
    <col min="11785" max="12032" width="11.42578125" style="9"/>
    <col min="12033" max="12033" width="3.7109375" style="9" customWidth="1"/>
    <col min="12034" max="12034" width="27.42578125" style="9" customWidth="1"/>
    <col min="12035" max="12035" width="15.85546875" style="9" customWidth="1"/>
    <col min="12036" max="12036" width="82" style="9" customWidth="1"/>
    <col min="12037" max="12037" width="13.7109375" style="9" customWidth="1"/>
    <col min="12038" max="12038" width="16.42578125" style="9" customWidth="1"/>
    <col min="12039" max="12039" width="22.28515625" style="9" customWidth="1"/>
    <col min="12040" max="12040" width="21.28515625" style="9" customWidth="1"/>
    <col min="12041" max="12288" width="11.42578125" style="9"/>
    <col min="12289" max="12289" width="3.7109375" style="9" customWidth="1"/>
    <col min="12290" max="12290" width="27.42578125" style="9" customWidth="1"/>
    <col min="12291" max="12291" width="15.85546875" style="9" customWidth="1"/>
    <col min="12292" max="12292" width="82" style="9" customWidth="1"/>
    <col min="12293" max="12293" width="13.7109375" style="9" customWidth="1"/>
    <col min="12294" max="12294" width="16.42578125" style="9" customWidth="1"/>
    <col min="12295" max="12295" width="22.28515625" style="9" customWidth="1"/>
    <col min="12296" max="12296" width="21.28515625" style="9" customWidth="1"/>
    <col min="12297" max="12544" width="11.42578125" style="9"/>
    <col min="12545" max="12545" width="3.7109375" style="9" customWidth="1"/>
    <col min="12546" max="12546" width="27.42578125" style="9" customWidth="1"/>
    <col min="12547" max="12547" width="15.85546875" style="9" customWidth="1"/>
    <col min="12548" max="12548" width="82" style="9" customWidth="1"/>
    <col min="12549" max="12549" width="13.7109375" style="9" customWidth="1"/>
    <col min="12550" max="12550" width="16.42578125" style="9" customWidth="1"/>
    <col min="12551" max="12551" width="22.28515625" style="9" customWidth="1"/>
    <col min="12552" max="12552" width="21.28515625" style="9" customWidth="1"/>
    <col min="12553" max="12800" width="11.42578125" style="9"/>
    <col min="12801" max="12801" width="3.7109375" style="9" customWidth="1"/>
    <col min="12802" max="12802" width="27.42578125" style="9" customWidth="1"/>
    <col min="12803" max="12803" width="15.85546875" style="9" customWidth="1"/>
    <col min="12804" max="12804" width="82" style="9" customWidth="1"/>
    <col min="12805" max="12805" width="13.7109375" style="9" customWidth="1"/>
    <col min="12806" max="12806" width="16.42578125" style="9" customWidth="1"/>
    <col min="12807" max="12807" width="22.28515625" style="9" customWidth="1"/>
    <col min="12808" max="12808" width="21.28515625" style="9" customWidth="1"/>
    <col min="12809" max="13056" width="11.42578125" style="9"/>
    <col min="13057" max="13057" width="3.7109375" style="9" customWidth="1"/>
    <col min="13058" max="13058" width="27.42578125" style="9" customWidth="1"/>
    <col min="13059" max="13059" width="15.85546875" style="9" customWidth="1"/>
    <col min="13060" max="13060" width="82" style="9" customWidth="1"/>
    <col min="13061" max="13061" width="13.7109375" style="9" customWidth="1"/>
    <col min="13062" max="13062" width="16.42578125" style="9" customWidth="1"/>
    <col min="13063" max="13063" width="22.28515625" style="9" customWidth="1"/>
    <col min="13064" max="13064" width="21.28515625" style="9" customWidth="1"/>
    <col min="13065" max="13312" width="11.42578125" style="9"/>
    <col min="13313" max="13313" width="3.7109375" style="9" customWidth="1"/>
    <col min="13314" max="13314" width="27.42578125" style="9" customWidth="1"/>
    <col min="13315" max="13315" width="15.85546875" style="9" customWidth="1"/>
    <col min="13316" max="13316" width="82" style="9" customWidth="1"/>
    <col min="13317" max="13317" width="13.7109375" style="9" customWidth="1"/>
    <col min="13318" max="13318" width="16.42578125" style="9" customWidth="1"/>
    <col min="13319" max="13319" width="22.28515625" style="9" customWidth="1"/>
    <col min="13320" max="13320" width="21.28515625" style="9" customWidth="1"/>
    <col min="13321" max="13568" width="11.42578125" style="9"/>
    <col min="13569" max="13569" width="3.7109375" style="9" customWidth="1"/>
    <col min="13570" max="13570" width="27.42578125" style="9" customWidth="1"/>
    <col min="13571" max="13571" width="15.85546875" style="9" customWidth="1"/>
    <col min="13572" max="13572" width="82" style="9" customWidth="1"/>
    <col min="13573" max="13573" width="13.7109375" style="9" customWidth="1"/>
    <col min="13574" max="13574" width="16.42578125" style="9" customWidth="1"/>
    <col min="13575" max="13575" width="22.28515625" style="9" customWidth="1"/>
    <col min="13576" max="13576" width="21.28515625" style="9" customWidth="1"/>
    <col min="13577" max="13824" width="11.42578125" style="9"/>
    <col min="13825" max="13825" width="3.7109375" style="9" customWidth="1"/>
    <col min="13826" max="13826" width="27.42578125" style="9" customWidth="1"/>
    <col min="13827" max="13827" width="15.85546875" style="9" customWidth="1"/>
    <col min="13828" max="13828" width="82" style="9" customWidth="1"/>
    <col min="13829" max="13829" width="13.7109375" style="9" customWidth="1"/>
    <col min="13830" max="13830" width="16.42578125" style="9" customWidth="1"/>
    <col min="13831" max="13831" width="22.28515625" style="9" customWidth="1"/>
    <col min="13832" max="13832" width="21.28515625" style="9" customWidth="1"/>
    <col min="13833" max="14080" width="11.42578125" style="9"/>
    <col min="14081" max="14081" width="3.7109375" style="9" customWidth="1"/>
    <col min="14082" max="14082" width="27.42578125" style="9" customWidth="1"/>
    <col min="14083" max="14083" width="15.85546875" style="9" customWidth="1"/>
    <col min="14084" max="14084" width="82" style="9" customWidth="1"/>
    <col min="14085" max="14085" width="13.7109375" style="9" customWidth="1"/>
    <col min="14086" max="14086" width="16.42578125" style="9" customWidth="1"/>
    <col min="14087" max="14087" width="22.28515625" style="9" customWidth="1"/>
    <col min="14088" max="14088" width="21.28515625" style="9" customWidth="1"/>
    <col min="14089" max="14336" width="11.42578125" style="9"/>
    <col min="14337" max="14337" width="3.7109375" style="9" customWidth="1"/>
    <col min="14338" max="14338" width="27.42578125" style="9" customWidth="1"/>
    <col min="14339" max="14339" width="15.85546875" style="9" customWidth="1"/>
    <col min="14340" max="14340" width="82" style="9" customWidth="1"/>
    <col min="14341" max="14341" width="13.7109375" style="9" customWidth="1"/>
    <col min="14342" max="14342" width="16.42578125" style="9" customWidth="1"/>
    <col min="14343" max="14343" width="22.28515625" style="9" customWidth="1"/>
    <col min="14344" max="14344" width="21.28515625" style="9" customWidth="1"/>
    <col min="14345" max="14592" width="11.42578125" style="9"/>
    <col min="14593" max="14593" width="3.7109375" style="9" customWidth="1"/>
    <col min="14594" max="14594" width="27.42578125" style="9" customWidth="1"/>
    <col min="14595" max="14595" width="15.85546875" style="9" customWidth="1"/>
    <col min="14596" max="14596" width="82" style="9" customWidth="1"/>
    <col min="14597" max="14597" width="13.7109375" style="9" customWidth="1"/>
    <col min="14598" max="14598" width="16.42578125" style="9" customWidth="1"/>
    <col min="14599" max="14599" width="22.28515625" style="9" customWidth="1"/>
    <col min="14600" max="14600" width="21.28515625" style="9" customWidth="1"/>
    <col min="14601" max="14848" width="11.42578125" style="9"/>
    <col min="14849" max="14849" width="3.7109375" style="9" customWidth="1"/>
    <col min="14850" max="14850" width="27.42578125" style="9" customWidth="1"/>
    <col min="14851" max="14851" width="15.85546875" style="9" customWidth="1"/>
    <col min="14852" max="14852" width="82" style="9" customWidth="1"/>
    <col min="14853" max="14853" width="13.7109375" style="9" customWidth="1"/>
    <col min="14854" max="14854" width="16.42578125" style="9" customWidth="1"/>
    <col min="14855" max="14855" width="22.28515625" style="9" customWidth="1"/>
    <col min="14856" max="14856" width="21.28515625" style="9" customWidth="1"/>
    <col min="14857" max="15104" width="11.42578125" style="9"/>
    <col min="15105" max="15105" width="3.7109375" style="9" customWidth="1"/>
    <col min="15106" max="15106" width="27.42578125" style="9" customWidth="1"/>
    <col min="15107" max="15107" width="15.85546875" style="9" customWidth="1"/>
    <col min="15108" max="15108" width="82" style="9" customWidth="1"/>
    <col min="15109" max="15109" width="13.7109375" style="9" customWidth="1"/>
    <col min="15110" max="15110" width="16.42578125" style="9" customWidth="1"/>
    <col min="15111" max="15111" width="22.28515625" style="9" customWidth="1"/>
    <col min="15112" max="15112" width="21.28515625" style="9" customWidth="1"/>
    <col min="15113" max="15360" width="11.42578125" style="9"/>
    <col min="15361" max="15361" width="3.7109375" style="9" customWidth="1"/>
    <col min="15362" max="15362" width="27.42578125" style="9" customWidth="1"/>
    <col min="15363" max="15363" width="15.85546875" style="9" customWidth="1"/>
    <col min="15364" max="15364" width="82" style="9" customWidth="1"/>
    <col min="15365" max="15365" width="13.7109375" style="9" customWidth="1"/>
    <col min="15366" max="15366" width="16.42578125" style="9" customWidth="1"/>
    <col min="15367" max="15367" width="22.28515625" style="9" customWidth="1"/>
    <col min="15368" max="15368" width="21.28515625" style="9" customWidth="1"/>
    <col min="15369" max="15616" width="11.42578125" style="9"/>
    <col min="15617" max="15617" width="3.7109375" style="9" customWidth="1"/>
    <col min="15618" max="15618" width="27.42578125" style="9" customWidth="1"/>
    <col min="15619" max="15619" width="15.85546875" style="9" customWidth="1"/>
    <col min="15620" max="15620" width="82" style="9" customWidth="1"/>
    <col min="15621" max="15621" width="13.7109375" style="9" customWidth="1"/>
    <col min="15622" max="15622" width="16.42578125" style="9" customWidth="1"/>
    <col min="15623" max="15623" width="22.28515625" style="9" customWidth="1"/>
    <col min="15624" max="15624" width="21.28515625" style="9" customWidth="1"/>
    <col min="15625" max="15872" width="11.42578125" style="9"/>
    <col min="15873" max="15873" width="3.7109375" style="9" customWidth="1"/>
    <col min="15874" max="15874" width="27.42578125" style="9" customWidth="1"/>
    <col min="15875" max="15875" width="15.85546875" style="9" customWidth="1"/>
    <col min="15876" max="15876" width="82" style="9" customWidth="1"/>
    <col min="15877" max="15877" width="13.7109375" style="9" customWidth="1"/>
    <col min="15878" max="15878" width="16.42578125" style="9" customWidth="1"/>
    <col min="15879" max="15879" width="22.28515625" style="9" customWidth="1"/>
    <col min="15880" max="15880" width="21.28515625" style="9" customWidth="1"/>
    <col min="15881" max="16128" width="11.42578125" style="9"/>
    <col min="16129" max="16129" width="3.7109375" style="9" customWidth="1"/>
    <col min="16130" max="16130" width="27.42578125" style="9" customWidth="1"/>
    <col min="16131" max="16131" width="15.85546875" style="9" customWidth="1"/>
    <col min="16132" max="16132" width="82" style="9" customWidth="1"/>
    <col min="16133" max="16133" width="13.7109375" style="9" customWidth="1"/>
    <col min="16134" max="16134" width="16.42578125" style="9" customWidth="1"/>
    <col min="16135" max="16135" width="22.28515625" style="9" customWidth="1"/>
    <col min="16136" max="16136" width="21.28515625" style="9" customWidth="1"/>
    <col min="16137" max="16384" width="11.42578125" style="9"/>
  </cols>
  <sheetData>
    <row r="1" spans="1:19" s="88" customFormat="1" ht="32.25" customHeight="1" x14ac:dyDescent="0.3">
      <c r="A1" s="82"/>
      <c r="B1" s="83"/>
      <c r="C1" s="84" t="s">
        <v>79</v>
      </c>
      <c r="D1" s="84"/>
      <c r="E1" s="85">
        <v>104</v>
      </c>
      <c r="F1" s="86"/>
      <c r="G1" s="86"/>
      <c r="H1" s="86"/>
      <c r="I1" s="87"/>
      <c r="J1" s="87"/>
      <c r="K1" s="87"/>
      <c r="L1" s="87"/>
      <c r="M1" s="87"/>
      <c r="N1" s="87"/>
      <c r="O1" s="87"/>
      <c r="P1" s="87"/>
      <c r="Q1" s="87"/>
      <c r="R1" s="87"/>
      <c r="S1" s="87"/>
    </row>
    <row r="2" spans="1:19" s="88" customFormat="1" ht="26.25" customHeight="1" thickBot="1" x14ac:dyDescent="0.3">
      <c r="A2" s="82"/>
      <c r="B2" s="89"/>
      <c r="C2" s="90" t="s">
        <v>80</v>
      </c>
      <c r="D2" s="90"/>
      <c r="E2" s="91"/>
      <c r="F2" s="92"/>
      <c r="G2" s="92"/>
      <c r="H2" s="93"/>
      <c r="I2" s="94"/>
      <c r="J2" s="94"/>
      <c r="K2" s="94"/>
      <c r="L2" s="94"/>
      <c r="M2" s="94"/>
      <c r="N2" s="94"/>
      <c r="O2" s="94"/>
      <c r="P2" s="94"/>
      <c r="Q2" s="94"/>
      <c r="R2" s="94"/>
      <c r="S2" s="94"/>
    </row>
    <row r="3" spans="1:19" ht="18.75" customHeight="1" x14ac:dyDescent="0.25">
      <c r="B3" s="96" t="s">
        <v>16</v>
      </c>
      <c r="C3" s="97" t="s">
        <v>8</v>
      </c>
      <c r="D3" s="98">
        <v>45162</v>
      </c>
      <c r="E3" s="99"/>
      <c r="F3" s="100"/>
      <c r="G3" s="100"/>
      <c r="H3" s="100"/>
    </row>
    <row r="4" spans="1:19" ht="18.75" customHeight="1" x14ac:dyDescent="0.25">
      <c r="B4" s="101"/>
      <c r="C4" s="102" t="s">
        <v>81</v>
      </c>
      <c r="D4" s="103">
        <f>+D3+100</f>
        <v>45262</v>
      </c>
      <c r="E4" s="104"/>
      <c r="F4" s="100"/>
      <c r="G4" s="100"/>
      <c r="H4" s="100"/>
    </row>
    <row r="5" spans="1:19" ht="18.75" customHeight="1" x14ac:dyDescent="0.25">
      <c r="B5" s="105" t="s">
        <v>82</v>
      </c>
      <c r="C5" s="106" t="s">
        <v>83</v>
      </c>
      <c r="D5" s="107"/>
      <c r="E5" s="108"/>
      <c r="F5" s="109"/>
      <c r="G5" s="109"/>
      <c r="H5" s="109"/>
    </row>
    <row r="6" spans="1:19" ht="18.75" customHeight="1" x14ac:dyDescent="0.25">
      <c r="B6" s="105" t="s">
        <v>84</v>
      </c>
      <c r="C6" s="106" t="s">
        <v>85</v>
      </c>
      <c r="D6" s="107"/>
      <c r="E6" s="108"/>
      <c r="F6" s="109"/>
      <c r="G6" s="109"/>
      <c r="H6" s="109"/>
    </row>
    <row r="7" spans="1:19" ht="18.75" customHeight="1" x14ac:dyDescent="0.25">
      <c r="B7" s="105" t="s">
        <v>86</v>
      </c>
      <c r="C7" s="106" t="s">
        <v>87</v>
      </c>
      <c r="D7" s="107"/>
      <c r="E7" s="108"/>
      <c r="F7" s="110"/>
      <c r="G7" s="110"/>
      <c r="H7" s="110"/>
    </row>
    <row r="8" spans="1:19" ht="18.75" customHeight="1" x14ac:dyDescent="0.25">
      <c r="B8" s="105" t="s">
        <v>18</v>
      </c>
      <c r="C8" s="106" t="s">
        <v>88</v>
      </c>
      <c r="D8" s="107"/>
      <c r="E8" s="108"/>
      <c r="F8" s="110"/>
      <c r="G8" s="110"/>
      <c r="H8" s="110"/>
    </row>
    <row r="9" spans="1:19" ht="18.75" customHeight="1" x14ac:dyDescent="0.25">
      <c r="B9" s="105" t="s">
        <v>89</v>
      </c>
      <c r="C9" s="106" t="s">
        <v>90</v>
      </c>
      <c r="D9" s="107"/>
      <c r="E9" s="108"/>
      <c r="F9" s="110"/>
      <c r="G9" s="110"/>
      <c r="H9" s="110"/>
    </row>
    <row r="10" spans="1:19" ht="18.75" customHeight="1" x14ac:dyDescent="0.25">
      <c r="B10" s="105" t="s">
        <v>91</v>
      </c>
      <c r="C10" s="106" t="s">
        <v>92</v>
      </c>
      <c r="D10" s="107"/>
      <c r="E10" s="108"/>
      <c r="F10" s="109"/>
      <c r="G10" s="109"/>
      <c r="H10" s="109"/>
    </row>
    <row r="11" spans="1:19" ht="18.75" customHeight="1" x14ac:dyDescent="0.25">
      <c r="B11" s="105" t="s">
        <v>93</v>
      </c>
      <c r="C11" s="111" t="s">
        <v>94</v>
      </c>
      <c r="D11" s="112"/>
      <c r="E11" s="113"/>
      <c r="F11" s="110"/>
      <c r="G11" s="110"/>
      <c r="H11" s="110"/>
    </row>
    <row r="12" spans="1:19" ht="18.75" customHeight="1" thickBot="1" x14ac:dyDescent="0.3">
      <c r="B12" s="114" t="s">
        <v>95</v>
      </c>
      <c r="C12" s="115">
        <v>100000</v>
      </c>
      <c r="D12" s="116"/>
      <c r="E12" s="117"/>
      <c r="F12" s="118"/>
      <c r="G12" s="118"/>
      <c r="H12" s="118"/>
    </row>
    <row r="13" spans="1:19" ht="18.75" customHeight="1" thickBot="1" x14ac:dyDescent="0.3">
      <c r="B13" s="119" t="s">
        <v>96</v>
      </c>
      <c r="C13" s="120" t="s">
        <v>97</v>
      </c>
      <c r="D13" s="121" t="s">
        <v>98</v>
      </c>
      <c r="E13" s="122" t="s">
        <v>99</v>
      </c>
      <c r="F13" s="118"/>
      <c r="G13" s="118"/>
      <c r="H13" s="118"/>
    </row>
    <row r="14" spans="1:19" ht="18.75" customHeight="1" x14ac:dyDescent="0.25">
      <c r="B14" s="119"/>
      <c r="C14" s="123" t="s">
        <v>100</v>
      </c>
      <c r="D14" s="124" t="s">
        <v>101</v>
      </c>
      <c r="E14" s="125">
        <v>10000</v>
      </c>
      <c r="F14" s="126"/>
      <c r="G14" s="126"/>
      <c r="H14" s="126"/>
    </row>
    <row r="15" spans="1:19" ht="18.75" customHeight="1" x14ac:dyDescent="0.25">
      <c r="B15" s="119"/>
      <c r="C15" s="123"/>
      <c r="D15" s="124" t="s">
        <v>102</v>
      </c>
      <c r="E15" s="125">
        <v>50000</v>
      </c>
      <c r="F15" s="126"/>
      <c r="G15" s="126"/>
      <c r="H15" s="126"/>
    </row>
    <row r="16" spans="1:19" ht="18.75" customHeight="1" x14ac:dyDescent="0.25">
      <c r="B16" s="119"/>
      <c r="C16" s="123"/>
      <c r="D16" s="124"/>
      <c r="E16" s="127"/>
      <c r="F16" s="126"/>
      <c r="G16" s="126"/>
      <c r="H16" s="126"/>
    </row>
    <row r="17" spans="1:8" ht="18.75" customHeight="1" x14ac:dyDescent="0.25">
      <c r="B17" s="105" t="s">
        <v>103</v>
      </c>
      <c r="C17" s="128">
        <f>SUM(E14:E16)</f>
        <v>60000</v>
      </c>
      <c r="D17" s="107"/>
      <c r="E17" s="108"/>
      <c r="F17" s="118"/>
      <c r="G17" s="118"/>
      <c r="H17" s="118"/>
    </row>
    <row r="18" spans="1:8" ht="18.75" customHeight="1" x14ac:dyDescent="0.25">
      <c r="B18" s="105" t="s">
        <v>104</v>
      </c>
      <c r="C18" s="129">
        <f>+C17/C12</f>
        <v>0.6</v>
      </c>
      <c r="D18" s="130"/>
      <c r="E18" s="131"/>
      <c r="F18" s="132"/>
      <c r="G18" s="132"/>
      <c r="H18" s="132"/>
    </row>
    <row r="19" spans="1:8" ht="18.75" customHeight="1" x14ac:dyDescent="0.25">
      <c r="B19" s="105" t="s">
        <v>105</v>
      </c>
      <c r="C19" s="106">
        <v>1</v>
      </c>
      <c r="D19" s="107"/>
      <c r="E19" s="108"/>
      <c r="F19" s="109"/>
      <c r="G19" s="109"/>
      <c r="H19" s="109"/>
    </row>
    <row r="20" spans="1:8" ht="18.75" customHeight="1" x14ac:dyDescent="0.25">
      <c r="B20" s="101" t="s">
        <v>106</v>
      </c>
      <c r="C20" s="133" t="s">
        <v>107</v>
      </c>
      <c r="D20" s="134"/>
      <c r="E20" s="135"/>
      <c r="F20" s="109"/>
      <c r="G20" s="109"/>
      <c r="H20" s="109"/>
    </row>
    <row r="21" spans="1:8" ht="18.75" customHeight="1" x14ac:dyDescent="0.25">
      <c r="B21" s="101"/>
      <c r="C21" s="133" t="s">
        <v>108</v>
      </c>
      <c r="D21" s="136" t="s">
        <v>109</v>
      </c>
      <c r="E21" s="135"/>
      <c r="F21" s="109"/>
      <c r="G21" s="109"/>
      <c r="H21" s="109"/>
    </row>
    <row r="22" spans="1:8" ht="18.75" customHeight="1" x14ac:dyDescent="0.25">
      <c r="B22" s="101"/>
      <c r="C22" s="133" t="s">
        <v>110</v>
      </c>
      <c r="D22" s="134"/>
      <c r="E22" s="135"/>
      <c r="F22" s="109"/>
      <c r="G22" s="109"/>
      <c r="H22" s="109"/>
    </row>
    <row r="23" spans="1:8" ht="18.75" customHeight="1" x14ac:dyDescent="0.25">
      <c r="B23" s="105" t="s">
        <v>111</v>
      </c>
      <c r="C23" s="137" t="s">
        <v>112</v>
      </c>
      <c r="D23" s="138"/>
      <c r="E23" s="139"/>
      <c r="F23" s="109"/>
      <c r="G23" s="109"/>
      <c r="H23" s="109"/>
    </row>
    <row r="24" spans="1:8" ht="18.75" customHeight="1" x14ac:dyDescent="0.25">
      <c r="B24" s="105" t="s">
        <v>24</v>
      </c>
      <c r="C24" s="137" t="s">
        <v>113</v>
      </c>
      <c r="D24" s="138"/>
      <c r="E24" s="139"/>
      <c r="F24" s="109"/>
      <c r="G24" s="109"/>
      <c r="H24" s="109"/>
    </row>
    <row r="25" spans="1:8" ht="18.75" customHeight="1" thickBot="1" x14ac:dyDescent="0.3">
      <c r="B25" s="140" t="s">
        <v>114</v>
      </c>
      <c r="C25" s="141">
        <v>4</v>
      </c>
      <c r="D25" s="142"/>
      <c r="E25" s="135" t="s">
        <v>115</v>
      </c>
      <c r="F25" s="109"/>
      <c r="G25" s="109"/>
      <c r="H25" s="109"/>
    </row>
    <row r="26" spans="1:8" ht="80.25" x14ac:dyDescent="0.25">
      <c r="A26" s="95" t="s">
        <v>116</v>
      </c>
      <c r="B26" s="143" t="s">
        <v>117</v>
      </c>
      <c r="C26" s="144" t="s">
        <v>118</v>
      </c>
      <c r="D26" s="145"/>
      <c r="E26" s="146"/>
      <c r="F26" s="109"/>
      <c r="G26" s="109"/>
      <c r="H26" s="109"/>
    </row>
    <row r="27" spans="1:8" ht="15.75" x14ac:dyDescent="0.25">
      <c r="B27" s="147" t="s">
        <v>119</v>
      </c>
      <c r="C27" s="148">
        <v>501</v>
      </c>
      <c r="D27" s="149"/>
      <c r="E27" s="150"/>
      <c r="F27" s="151"/>
      <c r="G27" s="151"/>
      <c r="H27" s="151"/>
    </row>
    <row r="28" spans="1:8" ht="22.5" customHeight="1" x14ac:dyDescent="0.25">
      <c r="A28" s="95" t="s">
        <v>120</v>
      </c>
      <c r="B28" s="147" t="s">
        <v>121</v>
      </c>
      <c r="C28" s="148" t="s">
        <v>122</v>
      </c>
      <c r="D28" s="149"/>
      <c r="E28" s="150"/>
      <c r="F28" s="151"/>
      <c r="G28" s="151"/>
      <c r="H28" s="151"/>
    </row>
    <row r="29" spans="1:8" ht="48.75" x14ac:dyDescent="0.25">
      <c r="A29" s="95" t="s">
        <v>123</v>
      </c>
      <c r="B29" s="147" t="s">
        <v>124</v>
      </c>
      <c r="C29" s="152" t="s">
        <v>125</v>
      </c>
      <c r="D29" s="138"/>
      <c r="E29" s="139"/>
      <c r="F29" s="153"/>
      <c r="G29" s="153"/>
      <c r="H29" s="153"/>
    </row>
    <row r="30" spans="1:8" ht="15.75" x14ac:dyDescent="0.25">
      <c r="B30" s="154" t="s">
        <v>126</v>
      </c>
      <c r="C30" s="155" t="s">
        <v>127</v>
      </c>
      <c r="D30" s="156"/>
      <c r="E30" s="157"/>
      <c r="F30" s="158"/>
      <c r="G30" s="158"/>
      <c r="H30" s="158"/>
    </row>
    <row r="31" spans="1:8" ht="16.5" thickBot="1" x14ac:dyDescent="0.3">
      <c r="B31" s="159"/>
      <c r="C31" s="155" t="s">
        <v>128</v>
      </c>
      <c r="D31" s="160" t="s">
        <v>109</v>
      </c>
      <c r="E31" s="157"/>
      <c r="F31" s="158"/>
      <c r="G31" s="158"/>
      <c r="H31" s="158"/>
    </row>
    <row r="32" spans="1:8" ht="15.75" x14ac:dyDescent="0.25">
      <c r="B32" s="161" t="s">
        <v>129</v>
      </c>
      <c r="C32" s="162" t="s">
        <v>11</v>
      </c>
      <c r="D32" s="163"/>
      <c r="E32" s="164" t="s">
        <v>130</v>
      </c>
      <c r="F32" s="165"/>
      <c r="G32" s="165"/>
      <c r="H32" s="165"/>
    </row>
    <row r="33" spans="1:8" ht="111.75" x14ac:dyDescent="0.25">
      <c r="A33" s="95" t="s">
        <v>131</v>
      </c>
      <c r="B33" s="166" t="s">
        <v>132</v>
      </c>
      <c r="C33" s="167" t="s">
        <v>133</v>
      </c>
      <c r="D33" s="168"/>
      <c r="E33" s="164"/>
      <c r="F33" s="169"/>
      <c r="G33" s="169"/>
      <c r="H33" s="169"/>
    </row>
    <row r="34" spans="1:8" ht="15.75" x14ac:dyDescent="0.25">
      <c r="B34" s="170" t="s">
        <v>129</v>
      </c>
      <c r="C34" s="171" t="s">
        <v>134</v>
      </c>
      <c r="D34" s="172"/>
      <c r="E34" s="173" t="s">
        <v>135</v>
      </c>
      <c r="F34" s="165"/>
      <c r="G34" s="165"/>
      <c r="H34" s="165"/>
    </row>
    <row r="35" spans="1:8" ht="81" thickBot="1" x14ac:dyDescent="0.3">
      <c r="A35" s="95" t="s">
        <v>116</v>
      </c>
      <c r="B35" s="174" t="s">
        <v>136</v>
      </c>
      <c r="C35" s="175" t="s">
        <v>137</v>
      </c>
      <c r="D35" s="176"/>
      <c r="E35" s="177"/>
      <c r="F35" s="169"/>
      <c r="G35" s="169"/>
      <c r="H35" s="169"/>
    </row>
  </sheetData>
  <mergeCells count="33">
    <mergeCell ref="C34:D34"/>
    <mergeCell ref="E34:E35"/>
    <mergeCell ref="C35:D35"/>
    <mergeCell ref="C28:E28"/>
    <mergeCell ref="C29:E29"/>
    <mergeCell ref="B30:B31"/>
    <mergeCell ref="C32:D32"/>
    <mergeCell ref="E32:E33"/>
    <mergeCell ref="C33:D33"/>
    <mergeCell ref="B20:B22"/>
    <mergeCell ref="C23:E23"/>
    <mergeCell ref="C24:E24"/>
    <mergeCell ref="C25:D25"/>
    <mergeCell ref="C26:E26"/>
    <mergeCell ref="C27:E27"/>
    <mergeCell ref="C11:E11"/>
    <mergeCell ref="C12:E12"/>
    <mergeCell ref="B13:B16"/>
    <mergeCell ref="C17:E17"/>
    <mergeCell ref="C18:E18"/>
    <mergeCell ref="C19:E19"/>
    <mergeCell ref="C5:E5"/>
    <mergeCell ref="C6:E6"/>
    <mergeCell ref="C7:E7"/>
    <mergeCell ref="C8:E8"/>
    <mergeCell ref="C9:E9"/>
    <mergeCell ref="C10:E10"/>
    <mergeCell ref="C1:D1"/>
    <mergeCell ref="E1:E2"/>
    <mergeCell ref="C2:D2"/>
    <mergeCell ref="B3:B4"/>
    <mergeCell ref="D3:E3"/>
    <mergeCell ref="D4:E4"/>
  </mergeCells>
  <pageMargins left="0.70866141732283472" right="0.70866141732283472" top="0.74803149606299213" bottom="0.74803149606299213" header="0.31496062992125984" footer="0.31496062992125984"/>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FA122-9DD2-431E-AA69-F58B2A21CA77}">
  <sheetPr>
    <tabColor rgb="FFFF0000"/>
    <pageSetUpPr fitToPage="1"/>
  </sheetPr>
  <dimension ref="A1:Q52"/>
  <sheetViews>
    <sheetView view="pageBreakPreview" zoomScaleNormal="100" zoomScaleSheetLayoutView="100" workbookViewId="0">
      <selection activeCell="D15" sqref="D15"/>
    </sheetView>
  </sheetViews>
  <sheetFormatPr baseColWidth="10" defaultRowHeight="15" x14ac:dyDescent="0.25"/>
  <cols>
    <col min="1" max="1" width="1.7109375" style="1"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7" customWidth="1"/>
  </cols>
  <sheetData>
    <row r="1" spans="1:17" ht="21" x14ac:dyDescent="0.35">
      <c r="D1" s="2" t="s">
        <v>0</v>
      </c>
      <c r="E1" s="2"/>
      <c r="F1" s="2"/>
      <c r="G1" s="2"/>
      <c r="H1" s="2"/>
      <c r="I1" s="2"/>
      <c r="J1" s="2"/>
      <c r="K1" s="2"/>
      <c r="L1" s="2"/>
      <c r="M1" s="2"/>
      <c r="N1" s="2"/>
      <c r="O1" s="2"/>
      <c r="P1" s="2"/>
    </row>
    <row r="2" spans="1:17" ht="21" x14ac:dyDescent="0.35">
      <c r="D2" s="2" t="s">
        <v>1</v>
      </c>
      <c r="E2" s="2"/>
      <c r="F2" s="2"/>
      <c r="G2" s="2"/>
      <c r="H2" s="2"/>
      <c r="I2" s="2"/>
      <c r="J2" s="2"/>
      <c r="K2" s="2"/>
      <c r="L2" s="2"/>
      <c r="M2" s="2"/>
      <c r="N2" s="2"/>
      <c r="O2" s="2"/>
      <c r="P2" s="2"/>
      <c r="Q2" s="3" t="s">
        <v>2</v>
      </c>
    </row>
    <row r="3" spans="1:17" ht="9" customHeight="1" x14ac:dyDescent="0.3">
      <c r="D3" s="4"/>
      <c r="E3" s="4"/>
      <c r="F3" s="4"/>
      <c r="G3" s="4"/>
      <c r="H3" s="4"/>
      <c r="I3" s="4"/>
      <c r="J3" s="4"/>
      <c r="K3" s="4"/>
      <c r="L3" s="4"/>
      <c r="M3" s="4"/>
      <c r="N3" s="4"/>
      <c r="O3" s="4"/>
      <c r="P3" s="5" t="s">
        <v>3</v>
      </c>
      <c r="Q3" s="6"/>
    </row>
    <row r="4" spans="1:17" s="9" customFormat="1" ht="15.75" customHeight="1" x14ac:dyDescent="0.25">
      <c r="A4" s="7"/>
      <c r="B4" s="8" t="s">
        <v>4</v>
      </c>
      <c r="C4" s="8"/>
      <c r="D4" s="9" t="s">
        <v>5</v>
      </c>
      <c r="P4" s="5"/>
      <c r="Q4" s="10"/>
    </row>
    <row r="5" spans="1:17" s="9" customFormat="1" ht="15.75" customHeight="1" thickBot="1" x14ac:dyDescent="0.3">
      <c r="A5" s="7"/>
      <c r="B5" s="8" t="s">
        <v>6</v>
      </c>
      <c r="C5" s="8"/>
      <c r="D5" s="9" t="s">
        <v>7</v>
      </c>
      <c r="H5" s="11" t="s">
        <v>8</v>
      </c>
      <c r="I5" s="11"/>
      <c r="J5" s="11"/>
      <c r="K5" s="11"/>
      <c r="L5" s="12"/>
      <c r="M5" s="12" t="s">
        <v>9</v>
      </c>
      <c r="N5" s="11"/>
      <c r="O5" s="11"/>
      <c r="P5" s="11"/>
    </row>
    <row r="6" spans="1:17" s="9" customFormat="1" ht="15.75" x14ac:dyDescent="0.25">
      <c r="A6" s="7"/>
      <c r="B6" s="8" t="s">
        <v>10</v>
      </c>
      <c r="C6" s="8"/>
      <c r="D6" s="13" t="s">
        <v>11</v>
      </c>
      <c r="H6" s="14" t="s">
        <v>12</v>
      </c>
      <c r="I6" s="14"/>
      <c r="J6" s="14"/>
      <c r="K6" s="14"/>
      <c r="L6" s="15"/>
      <c r="M6" s="15"/>
      <c r="N6" s="11"/>
      <c r="O6" s="11"/>
      <c r="P6" s="11"/>
      <c r="Q6" s="16" t="s">
        <v>13</v>
      </c>
    </row>
    <row r="7" spans="1:17" s="9" customFormat="1" ht="15.75" x14ac:dyDescent="0.25">
      <c r="A7" s="7"/>
      <c r="B7" s="8" t="s">
        <v>14</v>
      </c>
      <c r="C7" s="8"/>
      <c r="D7" s="9" t="s">
        <v>15</v>
      </c>
      <c r="E7" s="13" t="s">
        <v>16</v>
      </c>
      <c r="H7" s="17">
        <v>45162</v>
      </c>
      <c r="I7" s="18"/>
      <c r="J7" s="18"/>
      <c r="K7" s="18"/>
      <c r="L7" s="17">
        <v>45162</v>
      </c>
      <c r="M7" s="17"/>
      <c r="N7" s="17"/>
      <c r="O7" s="18"/>
      <c r="P7" s="18"/>
      <c r="Q7" s="19" t="s">
        <v>17</v>
      </c>
    </row>
    <row r="8" spans="1:17" s="9" customFormat="1" ht="16.5" thickBot="1" x14ac:dyDescent="0.3">
      <c r="A8" s="7"/>
      <c r="B8" s="8" t="s">
        <v>18</v>
      </c>
      <c r="C8" s="8"/>
      <c r="D8" s="9" t="s">
        <v>19</v>
      </c>
      <c r="E8" s="13" t="s">
        <v>16</v>
      </c>
      <c r="H8" s="17">
        <f>+H7+20</f>
        <v>45182</v>
      </c>
      <c r="I8" s="18"/>
      <c r="J8" s="18"/>
      <c r="K8" s="18"/>
      <c r="L8" s="17">
        <f>+L7+1</f>
        <v>45163</v>
      </c>
      <c r="M8" s="17"/>
      <c r="N8" s="17"/>
      <c r="O8" s="18"/>
      <c r="P8" s="18"/>
      <c r="Q8" s="20"/>
    </row>
    <row r="9" spans="1:17" s="9" customFormat="1" ht="33" x14ac:dyDescent="0.25">
      <c r="A9" s="7">
        <v>11</v>
      </c>
      <c r="B9" s="21" t="s">
        <v>20</v>
      </c>
      <c r="C9" s="21"/>
      <c r="D9" s="22" t="s">
        <v>21</v>
      </c>
      <c r="E9" s="22"/>
      <c r="F9" s="22"/>
      <c r="G9" s="22"/>
      <c r="H9" s="22"/>
      <c r="I9" s="22"/>
      <c r="J9" s="22"/>
      <c r="K9" s="22"/>
      <c r="L9" s="22"/>
      <c r="M9" s="22"/>
      <c r="N9" s="22"/>
      <c r="O9" s="22"/>
      <c r="P9" s="22"/>
      <c r="Q9" s="22"/>
    </row>
    <row r="10" spans="1:17" s="9" customFormat="1" ht="33" x14ac:dyDescent="0.25">
      <c r="A10" s="7">
        <v>11</v>
      </c>
      <c r="B10" s="21"/>
      <c r="C10" s="21"/>
      <c r="D10" s="22" t="s">
        <v>22</v>
      </c>
      <c r="E10" s="22"/>
      <c r="F10" s="22"/>
      <c r="G10" s="22"/>
      <c r="H10" s="22"/>
      <c r="I10" s="22"/>
      <c r="J10" s="22"/>
      <c r="K10" s="22"/>
      <c r="L10" s="22"/>
      <c r="M10" s="22"/>
      <c r="N10" s="22"/>
      <c r="O10" s="22"/>
      <c r="P10" s="22"/>
      <c r="Q10" s="22"/>
    </row>
    <row r="11" spans="1:17" s="9" customFormat="1" ht="15.75" x14ac:dyDescent="0.25">
      <c r="A11" s="23"/>
      <c r="B11" s="24"/>
      <c r="C11" s="24"/>
      <c r="D11" s="25" t="s">
        <v>23</v>
      </c>
      <c r="E11" s="26"/>
      <c r="F11" s="26"/>
      <c r="G11" s="26"/>
      <c r="H11" s="26"/>
      <c r="I11" s="26"/>
      <c r="J11" s="26"/>
      <c r="K11" s="26"/>
      <c r="L11" s="26"/>
      <c r="M11" s="26"/>
      <c r="N11" s="26"/>
      <c r="O11" s="26"/>
      <c r="P11" s="26"/>
    </row>
    <row r="12" spans="1:17" s="28" customFormat="1" ht="15" customHeight="1" x14ac:dyDescent="0.2">
      <c r="A12" s="23"/>
      <c r="B12" s="27" t="s">
        <v>24</v>
      </c>
      <c r="C12" s="27"/>
      <c r="D12" s="27"/>
      <c r="I12" s="29" t="s">
        <v>25</v>
      </c>
      <c r="N12" s="29" t="s">
        <v>26</v>
      </c>
    </row>
    <row r="13" spans="1:17" s="28" customFormat="1" ht="14.25" x14ac:dyDescent="0.2">
      <c r="A13" s="23"/>
      <c r="B13" s="30" t="s">
        <v>27</v>
      </c>
      <c r="C13" s="28" t="s">
        <v>28</v>
      </c>
      <c r="D13" s="28" t="s">
        <v>29</v>
      </c>
      <c r="E13" s="31" t="s">
        <v>30</v>
      </c>
      <c r="H13" s="32"/>
      <c r="I13" s="33" t="s">
        <v>31</v>
      </c>
      <c r="K13" s="32"/>
      <c r="L13" s="32"/>
      <c r="N13" s="34" t="s">
        <v>32</v>
      </c>
      <c r="O13" s="33"/>
    </row>
    <row r="14" spans="1:17" s="28" customFormat="1" ht="12.75" x14ac:dyDescent="0.2">
      <c r="A14" s="23"/>
      <c r="B14" s="30" t="s">
        <v>33</v>
      </c>
      <c r="C14" s="28" t="s">
        <v>34</v>
      </c>
      <c r="D14" s="28" t="s">
        <v>35</v>
      </c>
      <c r="H14" s="32"/>
      <c r="I14" s="33" t="s">
        <v>9</v>
      </c>
      <c r="J14" s="35"/>
      <c r="K14" s="32"/>
      <c r="L14" s="32"/>
      <c r="M14" s="36" t="s">
        <v>36</v>
      </c>
      <c r="N14" s="33" t="s">
        <v>37</v>
      </c>
      <c r="O14" s="33"/>
    </row>
    <row r="15" spans="1:17" s="28" customFormat="1" ht="12.75" x14ac:dyDescent="0.2">
      <c r="A15" s="23"/>
      <c r="B15" s="30" t="s">
        <v>36</v>
      </c>
      <c r="C15" s="28" t="s">
        <v>38</v>
      </c>
      <c r="D15" s="28" t="s">
        <v>39</v>
      </c>
      <c r="H15" s="32"/>
      <c r="I15" s="33" t="s">
        <v>40</v>
      </c>
      <c r="J15" s="35"/>
      <c r="K15" s="32"/>
      <c r="L15" s="32"/>
      <c r="M15" s="36" t="s">
        <v>41</v>
      </c>
      <c r="N15" s="33" t="s">
        <v>42</v>
      </c>
      <c r="O15" s="33"/>
    </row>
    <row r="16" spans="1:17" s="28" customFormat="1" ht="12.75" x14ac:dyDescent="0.2">
      <c r="A16" s="23"/>
      <c r="C16" s="30"/>
      <c r="D16" s="28" t="s">
        <v>43</v>
      </c>
      <c r="H16" s="32"/>
      <c r="I16" s="33"/>
      <c r="J16" s="35"/>
      <c r="K16" s="32"/>
      <c r="L16" s="32"/>
      <c r="M16" s="36" t="s">
        <v>44</v>
      </c>
      <c r="N16" s="34" t="s">
        <v>45</v>
      </c>
      <c r="O16" s="33"/>
    </row>
    <row r="17" spans="1:17" s="28" customFormat="1" ht="6.75" customHeight="1" thickBot="1" x14ac:dyDescent="0.25">
      <c r="A17" s="37"/>
      <c r="C17" s="30"/>
    </row>
    <row r="18" spans="1:17" ht="15.75" x14ac:dyDescent="0.25">
      <c r="C18" s="38" t="s">
        <v>46</v>
      </c>
      <c r="D18" s="39"/>
      <c r="E18" s="40" t="s">
        <v>47</v>
      </c>
      <c r="F18" s="41"/>
      <c r="G18" s="41"/>
      <c r="H18" s="41"/>
      <c r="I18" s="41"/>
      <c r="J18" s="41"/>
      <c r="K18" s="41"/>
      <c r="L18" s="42" t="s">
        <v>48</v>
      </c>
      <c r="M18" s="43"/>
      <c r="N18" s="40" t="s">
        <v>49</v>
      </c>
      <c r="O18" s="41"/>
      <c r="P18" s="41"/>
      <c r="Q18" s="44" t="s">
        <v>25</v>
      </c>
    </row>
    <row r="19" spans="1:17" ht="16.5" thickBot="1" x14ac:dyDescent="0.3">
      <c r="C19" s="45"/>
      <c r="D19" s="46"/>
      <c r="E19" s="47" t="s">
        <v>27</v>
      </c>
      <c r="F19" s="48" t="s">
        <v>33</v>
      </c>
      <c r="G19" s="48" t="s">
        <v>36</v>
      </c>
      <c r="H19" s="48" t="s">
        <v>50</v>
      </c>
      <c r="I19" s="48" t="s">
        <v>51</v>
      </c>
      <c r="J19" s="48" t="s">
        <v>52</v>
      </c>
      <c r="K19" s="48" t="s">
        <v>44</v>
      </c>
      <c r="L19" s="49"/>
      <c r="M19" s="50"/>
      <c r="N19" s="47" t="s">
        <v>36</v>
      </c>
      <c r="O19" s="48" t="s">
        <v>41</v>
      </c>
      <c r="P19" s="48" t="s">
        <v>44</v>
      </c>
      <c r="Q19" s="51"/>
    </row>
    <row r="20" spans="1:17" s="9" customFormat="1" ht="15.75" x14ac:dyDescent="0.25">
      <c r="A20" s="7"/>
      <c r="C20" s="52"/>
      <c r="D20" s="53"/>
      <c r="E20" s="54"/>
      <c r="F20" s="55"/>
      <c r="G20" s="55"/>
      <c r="H20" s="55"/>
      <c r="I20" s="55"/>
      <c r="J20" s="55"/>
      <c r="K20" s="55"/>
      <c r="L20" s="56"/>
      <c r="M20" s="57"/>
      <c r="N20" s="54"/>
      <c r="O20" s="55"/>
      <c r="P20" s="55"/>
      <c r="Q20" s="58"/>
    </row>
    <row r="21" spans="1:17" s="9" customFormat="1" ht="15.75" x14ac:dyDescent="0.25">
      <c r="A21" s="7"/>
      <c r="C21" s="59" t="s">
        <v>53</v>
      </c>
      <c r="D21" s="60"/>
      <c r="E21" s="61"/>
      <c r="F21" s="62"/>
      <c r="G21" s="62"/>
      <c r="H21" s="62"/>
      <c r="I21" s="62"/>
      <c r="J21" s="62"/>
      <c r="K21" s="62"/>
      <c r="L21" s="63" t="s">
        <v>54</v>
      </c>
      <c r="M21" s="64">
        <v>1</v>
      </c>
      <c r="N21" s="61"/>
      <c r="O21" s="62"/>
      <c r="P21" s="62"/>
      <c r="Q21" s="65"/>
    </row>
    <row r="22" spans="1:17" s="9" customFormat="1" ht="15.75" x14ac:dyDescent="0.25">
      <c r="A22" s="7"/>
      <c r="C22" s="59" t="s">
        <v>55</v>
      </c>
      <c r="D22" s="60"/>
      <c r="E22" s="61"/>
      <c r="F22" s="62"/>
      <c r="G22" s="62"/>
      <c r="H22" s="62"/>
      <c r="I22" s="62"/>
      <c r="J22" s="62"/>
      <c r="K22" s="62"/>
      <c r="L22" s="63"/>
      <c r="M22" s="64"/>
      <c r="N22" s="61"/>
      <c r="O22" s="62"/>
      <c r="P22" s="62"/>
      <c r="Q22" s="65"/>
    </row>
    <row r="23" spans="1:17" s="9" customFormat="1" ht="48.75" x14ac:dyDescent="0.25">
      <c r="A23" s="7">
        <v>111</v>
      </c>
      <c r="C23" s="59" t="s">
        <v>56</v>
      </c>
      <c r="D23" s="60"/>
      <c r="E23" s="61"/>
      <c r="F23" s="62"/>
      <c r="G23" s="62"/>
      <c r="H23" s="62"/>
      <c r="I23" s="62"/>
      <c r="J23" s="62"/>
      <c r="K23" s="62"/>
      <c r="L23" s="63" t="s">
        <v>54</v>
      </c>
      <c r="M23" s="66"/>
      <c r="N23" s="61"/>
      <c r="O23" s="62"/>
      <c r="P23" s="62"/>
      <c r="Q23" s="67"/>
    </row>
    <row r="24" spans="1:17" s="9" customFormat="1" ht="64.5" x14ac:dyDescent="0.25">
      <c r="A24" s="7">
        <v>1111</v>
      </c>
      <c r="C24" s="59" t="s">
        <v>57</v>
      </c>
      <c r="D24" s="60"/>
      <c r="E24" s="61"/>
      <c r="F24" s="62"/>
      <c r="G24" s="62"/>
      <c r="H24" s="62"/>
      <c r="I24" s="62"/>
      <c r="J24" s="62"/>
      <c r="K24" s="62"/>
      <c r="L24" s="68"/>
      <c r="M24" s="66"/>
      <c r="N24" s="61"/>
      <c r="O24" s="62"/>
      <c r="P24" s="62"/>
      <c r="Q24" s="65" t="s">
        <v>40</v>
      </c>
    </row>
    <row r="25" spans="1:17" s="9" customFormat="1" ht="33" x14ac:dyDescent="0.25">
      <c r="A25" s="7">
        <v>11</v>
      </c>
      <c r="C25" s="59" t="s">
        <v>58</v>
      </c>
      <c r="D25" s="60"/>
      <c r="E25" s="61"/>
      <c r="F25" s="62"/>
      <c r="G25" s="62"/>
      <c r="H25" s="62"/>
      <c r="I25" s="62"/>
      <c r="J25" s="62"/>
      <c r="K25" s="62"/>
      <c r="L25" s="63" t="s">
        <v>54</v>
      </c>
      <c r="M25" s="66"/>
      <c r="N25" s="61"/>
      <c r="O25" s="62"/>
      <c r="P25" s="62"/>
      <c r="Q25" s="65"/>
    </row>
    <row r="26" spans="1:17" s="9" customFormat="1" ht="64.5" x14ac:dyDescent="0.25">
      <c r="A26" s="7">
        <v>1111</v>
      </c>
      <c r="C26" s="59" t="s">
        <v>59</v>
      </c>
      <c r="D26" s="60"/>
      <c r="E26" s="61"/>
      <c r="F26" s="62"/>
      <c r="G26" s="62"/>
      <c r="H26" s="62"/>
      <c r="I26" s="62"/>
      <c r="J26" s="62"/>
      <c r="K26" s="62"/>
      <c r="L26" s="63" t="s">
        <v>54</v>
      </c>
      <c r="M26" s="66"/>
      <c r="N26" s="61"/>
      <c r="O26" s="62"/>
      <c r="P26" s="62"/>
      <c r="Q26" s="65"/>
    </row>
    <row r="27" spans="1:17" s="9" customFormat="1" ht="48.75" x14ac:dyDescent="0.25">
      <c r="A27" s="7">
        <v>111</v>
      </c>
      <c r="C27" s="59" t="s">
        <v>60</v>
      </c>
      <c r="D27" s="60"/>
      <c r="E27" s="61"/>
      <c r="F27" s="62"/>
      <c r="G27" s="62"/>
      <c r="H27" s="62"/>
      <c r="I27" s="62"/>
      <c r="J27" s="62"/>
      <c r="K27" s="62"/>
      <c r="L27" s="63" t="s">
        <v>54</v>
      </c>
      <c r="M27" s="66"/>
      <c r="N27" s="61"/>
      <c r="O27" s="62"/>
      <c r="P27" s="62"/>
      <c r="Q27" s="65"/>
    </row>
    <row r="28" spans="1:17" s="9" customFormat="1" ht="15.75" x14ac:dyDescent="0.25">
      <c r="A28" s="7"/>
      <c r="C28" s="59" t="s">
        <v>61</v>
      </c>
      <c r="D28" s="60"/>
      <c r="E28" s="61"/>
      <c r="F28" s="62"/>
      <c r="G28" s="62"/>
      <c r="H28" s="62"/>
      <c r="I28" s="62"/>
      <c r="J28" s="62"/>
      <c r="K28" s="62"/>
      <c r="L28" s="63" t="s">
        <v>54</v>
      </c>
      <c r="M28" s="66"/>
      <c r="N28" s="61"/>
      <c r="O28" s="62"/>
      <c r="P28" s="62"/>
      <c r="Q28" s="65"/>
    </row>
    <row r="29" spans="1:17" s="9" customFormat="1" ht="15.75" x14ac:dyDescent="0.25">
      <c r="A29" s="7"/>
      <c r="C29" s="69" t="s">
        <v>62</v>
      </c>
      <c r="D29" s="70"/>
      <c r="E29" s="61"/>
      <c r="F29" s="62"/>
      <c r="G29" s="62"/>
      <c r="H29" s="62"/>
      <c r="I29" s="62"/>
      <c r="J29" s="62"/>
      <c r="K29" s="62"/>
      <c r="L29" s="63" t="s">
        <v>54</v>
      </c>
      <c r="M29" s="66"/>
      <c r="N29" s="61"/>
      <c r="O29" s="62"/>
      <c r="P29" s="62"/>
      <c r="Q29" s="65"/>
    </row>
    <row r="30" spans="1:17" s="9" customFormat="1" ht="17.25" x14ac:dyDescent="0.25">
      <c r="A30" s="7">
        <v>1</v>
      </c>
      <c r="C30" s="59" t="s">
        <v>63</v>
      </c>
      <c r="D30" s="60"/>
      <c r="E30" s="61"/>
      <c r="F30" s="62"/>
      <c r="G30" s="62"/>
      <c r="H30" s="62"/>
      <c r="I30" s="62"/>
      <c r="J30" s="62"/>
      <c r="K30" s="62"/>
      <c r="L30" s="63" t="s">
        <v>54</v>
      </c>
      <c r="M30" s="66"/>
      <c r="N30" s="61"/>
      <c r="O30" s="62"/>
      <c r="P30" s="62"/>
      <c r="Q30" s="65"/>
    </row>
    <row r="31" spans="1:17" s="9" customFormat="1" ht="17.25" x14ac:dyDescent="0.25">
      <c r="A31" s="7">
        <v>1</v>
      </c>
      <c r="C31" s="59" t="s">
        <v>64</v>
      </c>
      <c r="D31" s="60"/>
      <c r="E31" s="61"/>
      <c r="F31" s="62"/>
      <c r="G31" s="62"/>
      <c r="H31" s="62"/>
      <c r="I31" s="62"/>
      <c r="J31" s="62"/>
      <c r="K31" s="62"/>
      <c r="L31" s="63" t="s">
        <v>54</v>
      </c>
      <c r="M31" s="66"/>
      <c r="N31" s="61"/>
      <c r="O31" s="62"/>
      <c r="P31" s="62"/>
      <c r="Q31" s="65"/>
    </row>
    <row r="32" spans="1:17" s="9" customFormat="1" ht="15.75" x14ac:dyDescent="0.25">
      <c r="A32" s="7"/>
      <c r="C32" s="59" t="s">
        <v>65</v>
      </c>
      <c r="D32" s="60"/>
      <c r="E32" s="61"/>
      <c r="F32" s="62"/>
      <c r="G32" s="62"/>
      <c r="H32" s="62"/>
      <c r="I32" s="62"/>
      <c r="J32" s="62"/>
      <c r="K32" s="62"/>
      <c r="L32" s="63" t="s">
        <v>54</v>
      </c>
      <c r="M32" s="66"/>
      <c r="N32" s="61"/>
      <c r="O32" s="62"/>
      <c r="P32" s="62"/>
      <c r="Q32" s="65"/>
    </row>
    <row r="33" spans="1:17" s="9" customFormat="1" ht="15.75" x14ac:dyDescent="0.25">
      <c r="A33" s="7"/>
      <c r="C33" s="59" t="s">
        <v>66</v>
      </c>
      <c r="D33" s="60"/>
      <c r="E33" s="61"/>
      <c r="F33" s="62"/>
      <c r="G33" s="62"/>
      <c r="H33" s="62"/>
      <c r="I33" s="62"/>
      <c r="J33" s="62"/>
      <c r="K33" s="62"/>
      <c r="L33" s="63" t="s">
        <v>54</v>
      </c>
      <c r="M33" s="66"/>
      <c r="N33" s="61"/>
      <c r="O33" s="62"/>
      <c r="P33" s="62"/>
      <c r="Q33" s="65"/>
    </row>
    <row r="34" spans="1:17" s="9" customFormat="1" ht="17.25" x14ac:dyDescent="0.25">
      <c r="A34" s="7">
        <v>1</v>
      </c>
      <c r="C34" s="69" t="s">
        <v>67</v>
      </c>
      <c r="D34" s="70"/>
      <c r="E34" s="61"/>
      <c r="F34" s="62"/>
      <c r="G34" s="62"/>
      <c r="H34" s="62"/>
      <c r="I34" s="62"/>
      <c r="J34" s="62"/>
      <c r="K34" s="62"/>
      <c r="L34" s="63" t="s">
        <v>54</v>
      </c>
      <c r="M34" s="66"/>
      <c r="N34" s="61"/>
      <c r="O34" s="62"/>
      <c r="P34" s="62"/>
      <c r="Q34" s="65"/>
    </row>
    <row r="35" spans="1:17" s="9" customFormat="1" ht="15.75" x14ac:dyDescent="0.25">
      <c r="A35" s="7"/>
      <c r="C35" s="59" t="s">
        <v>68</v>
      </c>
      <c r="D35" s="60"/>
      <c r="E35" s="61"/>
      <c r="F35" s="62"/>
      <c r="G35" s="62"/>
      <c r="H35" s="62"/>
      <c r="I35" s="62"/>
      <c r="J35" s="62"/>
      <c r="K35" s="62"/>
      <c r="L35" s="68"/>
      <c r="M35" s="66"/>
      <c r="N35" s="61"/>
      <c r="O35" s="62"/>
      <c r="P35" s="62"/>
      <c r="Q35" s="65"/>
    </row>
    <row r="36" spans="1:17" s="9" customFormat="1" ht="15.75" x14ac:dyDescent="0.25">
      <c r="A36" s="7"/>
      <c r="C36" s="59" t="s">
        <v>69</v>
      </c>
      <c r="D36" s="60"/>
      <c r="E36" s="61"/>
      <c r="F36" s="62"/>
      <c r="G36" s="62"/>
      <c r="H36" s="62"/>
      <c r="I36" s="62"/>
      <c r="J36" s="62"/>
      <c r="K36" s="62"/>
      <c r="L36" s="63" t="s">
        <v>54</v>
      </c>
      <c r="M36" s="66"/>
      <c r="N36" s="61"/>
      <c r="O36" s="62"/>
      <c r="P36" s="62"/>
      <c r="Q36" s="65"/>
    </row>
    <row r="37" spans="1:17" s="9" customFormat="1" ht="33" x14ac:dyDescent="0.25">
      <c r="A37" s="7">
        <v>11</v>
      </c>
      <c r="C37" s="59" t="s">
        <v>70</v>
      </c>
      <c r="D37" s="60"/>
      <c r="E37" s="61"/>
      <c r="F37" s="62"/>
      <c r="G37" s="62"/>
      <c r="H37" s="62"/>
      <c r="I37" s="62"/>
      <c r="J37" s="62"/>
      <c r="K37" s="62"/>
      <c r="L37" s="63" t="s">
        <v>54</v>
      </c>
      <c r="M37" s="66"/>
      <c r="N37" s="61"/>
      <c r="O37" s="62"/>
      <c r="P37" s="62"/>
      <c r="Q37" s="65"/>
    </row>
    <row r="38" spans="1:17" s="9" customFormat="1" ht="17.25" x14ac:dyDescent="0.25">
      <c r="A38" s="7">
        <v>1</v>
      </c>
      <c r="C38" s="59" t="s">
        <v>71</v>
      </c>
      <c r="D38" s="60"/>
      <c r="E38" s="61"/>
      <c r="F38" s="62"/>
      <c r="G38" s="62"/>
      <c r="H38" s="62"/>
      <c r="I38" s="62"/>
      <c r="J38" s="62"/>
      <c r="K38" s="62"/>
      <c r="L38" s="63" t="s">
        <v>54</v>
      </c>
      <c r="M38" s="66"/>
      <c r="N38" s="61"/>
      <c r="O38" s="62"/>
      <c r="P38" s="62"/>
      <c r="Q38" s="65"/>
    </row>
    <row r="39" spans="1:17" s="9" customFormat="1" ht="17.25" x14ac:dyDescent="0.25">
      <c r="A39" s="7">
        <v>1</v>
      </c>
      <c r="C39" s="59" t="s">
        <v>72</v>
      </c>
      <c r="D39" s="60"/>
      <c r="E39" s="61"/>
      <c r="F39" s="62"/>
      <c r="G39" s="62"/>
      <c r="H39" s="62"/>
      <c r="I39" s="62"/>
      <c r="J39" s="62"/>
      <c r="K39" s="62"/>
      <c r="L39" s="63" t="s">
        <v>54</v>
      </c>
      <c r="M39" s="66"/>
      <c r="N39" s="61"/>
      <c r="O39" s="62"/>
      <c r="P39" s="62"/>
      <c r="Q39" s="65"/>
    </row>
    <row r="40" spans="1:17" s="9" customFormat="1" ht="17.25" x14ac:dyDescent="0.25">
      <c r="A40" s="7">
        <v>1</v>
      </c>
      <c r="C40" s="59" t="s">
        <v>73</v>
      </c>
      <c r="D40" s="60"/>
      <c r="E40" s="61"/>
      <c r="F40" s="62"/>
      <c r="G40" s="62"/>
      <c r="H40" s="62"/>
      <c r="I40" s="62"/>
      <c r="J40" s="62"/>
      <c r="K40" s="62"/>
      <c r="L40" s="63" t="s">
        <v>54</v>
      </c>
      <c r="M40" s="66"/>
      <c r="N40" s="61"/>
      <c r="O40" s="62"/>
      <c r="P40" s="62"/>
      <c r="Q40" s="65"/>
    </row>
    <row r="41" spans="1:17" s="9" customFormat="1" ht="33" x14ac:dyDescent="0.25">
      <c r="A41" s="7">
        <v>11</v>
      </c>
      <c r="C41" s="59" t="s">
        <v>74</v>
      </c>
      <c r="D41" s="60"/>
      <c r="E41" s="61"/>
      <c r="F41" s="62"/>
      <c r="G41" s="62"/>
      <c r="H41" s="62"/>
      <c r="I41" s="62"/>
      <c r="J41" s="62"/>
      <c r="K41" s="62"/>
      <c r="L41" s="63" t="s">
        <v>54</v>
      </c>
      <c r="M41" s="66"/>
      <c r="N41" s="61"/>
      <c r="O41" s="62"/>
      <c r="P41" s="62"/>
      <c r="Q41" s="65"/>
    </row>
    <row r="42" spans="1:17" s="9" customFormat="1" ht="17.25" x14ac:dyDescent="0.25">
      <c r="A42" s="7">
        <v>1</v>
      </c>
      <c r="C42" s="59" t="s">
        <v>75</v>
      </c>
      <c r="D42" s="60"/>
      <c r="E42" s="61"/>
      <c r="F42" s="62"/>
      <c r="G42" s="62"/>
      <c r="H42" s="62"/>
      <c r="I42" s="62"/>
      <c r="J42" s="62"/>
      <c r="K42" s="62"/>
      <c r="L42" s="63" t="s">
        <v>54</v>
      </c>
      <c r="M42" s="66"/>
      <c r="N42" s="61"/>
      <c r="O42" s="62"/>
      <c r="P42" s="62"/>
      <c r="Q42" s="65"/>
    </row>
    <row r="43" spans="1:17" s="9" customFormat="1" ht="17.25" x14ac:dyDescent="0.25">
      <c r="A43" s="7">
        <v>1</v>
      </c>
      <c r="C43" s="59" t="s">
        <v>76</v>
      </c>
      <c r="D43" s="60"/>
      <c r="E43" s="61"/>
      <c r="F43" s="62"/>
      <c r="G43" s="62"/>
      <c r="H43" s="62"/>
      <c r="I43" s="62"/>
      <c r="J43" s="62"/>
      <c r="K43" s="62"/>
      <c r="L43" s="63" t="s">
        <v>54</v>
      </c>
      <c r="M43" s="66"/>
      <c r="N43" s="61"/>
      <c r="O43" s="62"/>
      <c r="P43" s="62"/>
      <c r="Q43" s="65"/>
    </row>
    <row r="44" spans="1:17" s="9" customFormat="1" ht="17.25" x14ac:dyDescent="0.25">
      <c r="A44" s="7">
        <v>1</v>
      </c>
      <c r="C44" s="59"/>
      <c r="D44" s="60"/>
      <c r="E44" s="61"/>
      <c r="F44" s="62"/>
      <c r="G44" s="62"/>
      <c r="H44" s="62"/>
      <c r="I44" s="62"/>
      <c r="J44" s="62"/>
      <c r="K44" s="62"/>
      <c r="L44" s="63" t="s">
        <v>54</v>
      </c>
      <c r="M44" s="66"/>
      <c r="N44" s="61"/>
      <c r="O44" s="62"/>
      <c r="P44" s="62"/>
      <c r="Q44" s="65"/>
    </row>
    <row r="45" spans="1:17" s="9" customFormat="1" ht="16.5" thickBot="1" x14ac:dyDescent="0.3">
      <c r="A45" s="7"/>
      <c r="C45" s="71"/>
      <c r="D45" s="72"/>
      <c r="E45" s="73"/>
      <c r="F45" s="74"/>
      <c r="G45" s="74"/>
      <c r="H45" s="74"/>
      <c r="I45" s="74"/>
      <c r="J45" s="74"/>
      <c r="K45" s="74"/>
      <c r="L45" s="75"/>
      <c r="M45" s="76"/>
      <c r="N45" s="73"/>
      <c r="O45" s="74"/>
      <c r="P45" s="74"/>
      <c r="Q45" s="77"/>
    </row>
    <row r="46" spans="1:17" s="9" customFormat="1" ht="16.5" thickBot="1" x14ac:dyDescent="0.3">
      <c r="A46" s="7"/>
      <c r="C46" s="78" t="s">
        <v>77</v>
      </c>
      <c r="D46" s="78"/>
    </row>
    <row r="47" spans="1:17" s="9" customFormat="1" ht="49.5" customHeight="1" thickBot="1" x14ac:dyDescent="0.3">
      <c r="A47" s="7">
        <v>111</v>
      </c>
      <c r="C47" s="79" t="s">
        <v>78</v>
      </c>
      <c r="D47" s="80"/>
      <c r="E47" s="80"/>
      <c r="F47" s="80"/>
      <c r="G47" s="80"/>
      <c r="H47" s="80"/>
      <c r="I47" s="80"/>
      <c r="J47" s="80"/>
      <c r="K47" s="80"/>
      <c r="L47" s="80"/>
      <c r="M47" s="80"/>
      <c r="N47" s="80"/>
      <c r="O47" s="80"/>
      <c r="P47" s="80"/>
      <c r="Q47" s="81"/>
    </row>
    <row r="48" spans="1:17" s="9" customFormat="1" ht="15.75" x14ac:dyDescent="0.25">
      <c r="A48" s="7"/>
    </row>
    <row r="49" spans="1:1" s="9" customFormat="1" ht="15.75" x14ac:dyDescent="0.25">
      <c r="A49" s="7"/>
    </row>
    <row r="50" spans="1:1" s="9" customFormat="1" ht="15.75" x14ac:dyDescent="0.25">
      <c r="A50" s="7"/>
    </row>
    <row r="51" spans="1:1" s="9" customFormat="1" ht="15.75" x14ac:dyDescent="0.25">
      <c r="A51" s="7"/>
    </row>
    <row r="52" spans="1:1" s="9" customFormat="1" ht="15.75" x14ac:dyDescent="0.25">
      <c r="A52" s="7"/>
    </row>
  </sheetData>
  <mergeCells count="51">
    <mergeCell ref="C44:D44"/>
    <mergeCell ref="C45:D45"/>
    <mergeCell ref="C46:D46"/>
    <mergeCell ref="C47:Q47"/>
    <mergeCell ref="C38:D38"/>
    <mergeCell ref="C39:D39"/>
    <mergeCell ref="C40:D40"/>
    <mergeCell ref="C41:D41"/>
    <mergeCell ref="C42:D42"/>
    <mergeCell ref="C43:D43"/>
    <mergeCell ref="C32:D32"/>
    <mergeCell ref="C33:D33"/>
    <mergeCell ref="C34:D34"/>
    <mergeCell ref="C35:D35"/>
    <mergeCell ref="C36:D36"/>
    <mergeCell ref="C37:D37"/>
    <mergeCell ref="C26:D26"/>
    <mergeCell ref="C27:D27"/>
    <mergeCell ref="C28:D28"/>
    <mergeCell ref="C29:D29"/>
    <mergeCell ref="C30:D30"/>
    <mergeCell ref="C31:D31"/>
    <mergeCell ref="C20:D20"/>
    <mergeCell ref="C21:D21"/>
    <mergeCell ref="C22:D22"/>
    <mergeCell ref="C23:D23"/>
    <mergeCell ref="C24:D24"/>
    <mergeCell ref="C25:D25"/>
    <mergeCell ref="B9:C10"/>
    <mergeCell ref="D9:Q9"/>
    <mergeCell ref="D10:Q10"/>
    <mergeCell ref="B12:D12"/>
    <mergeCell ref="C18:D19"/>
    <mergeCell ref="E18:K18"/>
    <mergeCell ref="L18:M19"/>
    <mergeCell ref="N18:P18"/>
    <mergeCell ref="Q18:Q19"/>
    <mergeCell ref="H6:K6"/>
    <mergeCell ref="N6:P6"/>
    <mergeCell ref="H7:K7"/>
    <mergeCell ref="L7:M7"/>
    <mergeCell ref="N7:P7"/>
    <mergeCell ref="H8:K8"/>
    <mergeCell ref="L8:M8"/>
    <mergeCell ref="N8:P8"/>
    <mergeCell ref="D1:P1"/>
    <mergeCell ref="D2:P2"/>
    <mergeCell ref="Q2:Q4"/>
    <mergeCell ref="P3:P4"/>
    <mergeCell ref="H5:K5"/>
    <mergeCell ref="N5:P5"/>
  </mergeCells>
  <dataValidations count="1">
    <dataValidation type="list" allowBlank="1" showInputMessage="1" showErrorMessage="1" sqref="Q21:Q44" xr:uid="{989B1AA8-5C34-4237-AD85-8A04BE322E1B}">
      <formula1>$I$13:$I$15</formula1>
    </dataValidation>
  </dataValidations>
  <pageMargins left="0.39" right="0.35" top="0.33" bottom="0.41" header="0.31496062992125984" footer="0.31496062992125984"/>
  <pageSetup paperSize="9" scale="7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104-1</vt:lpstr>
      <vt:lpstr>P-104</vt:lpstr>
      <vt:lpstr>'104-1'!Área_de_impresión</vt:lpstr>
      <vt:lpstr>'P-104'!Área_de_impresión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2023-08-25T14:56:36Z</dcterms:created>
  <dcterms:modified xsi:type="dcterms:W3CDTF">2023-08-25T14:59:07Z</dcterms:modified>
</cp:coreProperties>
</file>