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1 AAA\2023\0. AUDITORÍA MODELO 3ANG 2023\2. ANÁLISIS\2- 900- Supercias- (Áreas Críticas)\"/>
    </mc:Choice>
  </mc:AlternateContent>
  <xr:revisionPtr revIDLastSave="0" documentId="13_ncr:1_{77BF1004-0347-4CCC-9181-21B69AB138B3}" xr6:coauthVersionLast="47" xr6:coauthVersionMax="47" xr10:uidLastSave="{00000000-0000-0000-0000-000000000000}"/>
  <bookViews>
    <workbookView xWindow="-120" yWindow="-120" windowWidth="20730" windowHeight="11040" xr2:uid="{A589D5DC-393F-40CA-8AB9-166843E6F61A}"/>
  </bookViews>
  <sheets>
    <sheet name="900" sheetId="4" r:id="rId1"/>
  </sheets>
  <definedNames>
    <definedName name="_xlnm.Print_Area" localSheetId="0">'900'!$C$1:$J$302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99" i="4" l="1"/>
  <c r="I296" i="4" l="1"/>
  <c r="I294" i="4"/>
  <c r="I292" i="4"/>
  <c r="F299" i="4" l="1"/>
  <c r="F301" i="4" l="1"/>
  <c r="H301" i="4"/>
  <c r="H97" i="4"/>
</calcChain>
</file>

<file path=xl/sharedStrings.xml><?xml version="1.0" encoding="utf-8"?>
<sst xmlns="http://schemas.openxmlformats.org/spreadsheetml/2006/main" count="452" uniqueCount="295">
  <si>
    <t>ACTIVIDAD DE LA COMPAÑÍA</t>
  </si>
  <si>
    <t>INFORME A EMITIR</t>
  </si>
  <si>
    <t>Expresar una opinión sobre  la razonabilidad de los estados financieros en su conjunto.</t>
  </si>
  <si>
    <t>HONORARIOS</t>
  </si>
  <si>
    <t>Nuestros objetivos son obtener una seguridad razonable de que los estados financieros en su conjunto están libres de incorrección material, debida a fraude o error, y emitir un informe de auditoría que contiene nuestra opinión. Seguridad razonable es un alto grado de seguridad pero no garantiza que una auditoría realizada de conformidad con las NIA siempre detecte una incorrección material cuando existe. Las incorrecciones pueden deberse a fraude o error y se consideran materiales si, individualmente o de forma agregada, puede preverse razonablemente que influyan en las decisiones económicas que los usuarios toman basándose en los estados financieros.</t>
  </si>
  <si>
    <t>AUDITORÍA INICIAL</t>
  </si>
  <si>
    <t>AUDITORÍA RECURRENTE</t>
  </si>
  <si>
    <t>RESPONSABILIDAD DE LA ADMINISTRACIÓN</t>
  </si>
  <si>
    <t>La Administración es responsable de la preparación y presentación fiel de los estados financieros adjuntos de conformidad con las NIIF PYMES, y del control interno que la administración considere necesario para permitir la preparación de estados financieros libres de incorrección material, debida a fraude o error. Los responsables del gobierno de la entidad son responsables de la supervisión del proceso de información financiera de la Sociedad.</t>
  </si>
  <si>
    <t>IDENTIFICACIÓN DEL MARCO REFERENCIA APLICABLE EN LA ELABORACIÓN DE LOS ESTADOS FINANCIERO</t>
  </si>
  <si>
    <t>La preparación y presentación fiel de los estados financieros  de conformidad con las NIIF PYMES</t>
  </si>
  <si>
    <t>¿Esta actividad económica corresponde a la actividad PRINCIPAL que efectivamente realiza la compañía?</t>
  </si>
  <si>
    <t>SI</t>
  </si>
  <si>
    <t>NO</t>
  </si>
  <si>
    <t>Fecha de informe de Auditoría</t>
  </si>
  <si>
    <t>Fecha de entrega del informe de Auditoría</t>
  </si>
  <si>
    <t>CONCLUSIONES Y HALLAZGOS</t>
  </si>
  <si>
    <t>TIPO DE OPINIÓN</t>
  </si>
  <si>
    <t>No modificada o favorable</t>
  </si>
  <si>
    <t>Modificada - con salvedades</t>
  </si>
  <si>
    <t>Modificada - desfavorable o adversa</t>
  </si>
  <si>
    <t>Modificada - denegación o abstención</t>
  </si>
  <si>
    <t>JUSTIFICACIÓN DE LA OPINIÓN:</t>
  </si>
  <si>
    <t>MARQUE EL TIPO DE OPINIÓN EMITIDA EN EL INFORME CORRESPONDIENTE AL EJERCICIO FISCAL ANTERIOR</t>
  </si>
  <si>
    <t>No obligada</t>
  </si>
  <si>
    <t>Omiso en la entrega del informe</t>
  </si>
  <si>
    <t>NOMBRE DEL AUDITOR DEL AÑO ANTERIOR</t>
  </si>
  <si>
    <t>¿Todos los hechos o situaciones relevantes que superaron el nivel de materialidad determinado fueron debidamente analizados y documentados?</t>
  </si>
  <si>
    <t>PARCIALMENTE</t>
  </si>
  <si>
    <t>¿Existió suficiente evidencia para respaldar la opinión emitida por el Auditor?</t>
  </si>
  <si>
    <t>¿La compañía auditada está en causal de disolución por pérdidas de capital?</t>
  </si>
  <si>
    <t>DESCONOCE</t>
  </si>
  <si>
    <t>ESTADOS FINANCIEROS AUDITADOS</t>
  </si>
  <si>
    <t>Por favor ingrese la información de los estados financieros:</t>
  </si>
  <si>
    <t>Ingresar Individual:AQUI</t>
  </si>
  <si>
    <t>Nombre Representante Legal:</t>
  </si>
  <si>
    <t>Nombre Contador:</t>
  </si>
  <si>
    <t>Identificación Contador:</t>
  </si>
  <si>
    <t>ESTADO DE CAMBIOS EN EL PATRIMONIO</t>
  </si>
  <si>
    <t>ESTADO DE FLUJOS DE EFECTIVO</t>
  </si>
  <si>
    <t>DETERMINACIÓN DE LA MATERIALIDAD</t>
  </si>
  <si>
    <t>Valor USD</t>
  </si>
  <si>
    <t>RUBRO EN FUNCIÓN DEL CUAL SE CALCULÓ LA MATERIALIDAD</t>
  </si>
  <si>
    <t>%</t>
  </si>
  <si>
    <t>Marque los aspectos analizados sobre el entendimiento del negocio del cliente:</t>
  </si>
  <si>
    <t>Descripción</t>
  </si>
  <si>
    <t>Organización</t>
  </si>
  <si>
    <t>Estructura</t>
  </si>
  <si>
    <t>Principales operaciones</t>
  </si>
  <si>
    <t>Políticas y procedimientos de control</t>
  </si>
  <si>
    <t>Principales clientes</t>
  </si>
  <si>
    <t>Principales proveedores</t>
  </si>
  <si>
    <t>Normativa del sector</t>
  </si>
  <si>
    <t>Manual de funciones</t>
  </si>
  <si>
    <t>Otros</t>
  </si>
  <si>
    <t>¿La empresa auditada contó con un plan o manual de cuentas?</t>
  </si>
  <si>
    <t>¿La empresa auditada contó con políticas y procedimientos contables?</t>
  </si>
  <si>
    <t>¿El auditor externo examinó los contratos importantes celebrados por la compañía y vigentes en el período de la auditoría?</t>
  </si>
  <si>
    <t>Se aplicaron procedimientos de auditoría adecuados para evaluar la calidad y efectividad del:</t>
  </si>
  <si>
    <t>Sistema de Contabilidad</t>
  </si>
  <si>
    <t>Sistema de control interno</t>
  </si>
  <si>
    <t>Unidad de Auditoría Interna</t>
  </si>
  <si>
    <t>¿Se aplicaron procedimientos de auditoría para determinar la naturaleza, oportunidad y alcance de los procedimientos de auditoría y minimizar el riesgo de incorrección material debido a fraude o error?</t>
  </si>
  <si>
    <t>¿El sistema informático utilizado por la compañía auditada fue el adecuado para garantizar la seguridad, integridad y confiabilidad de los datos procesados y almacenados?</t>
  </si>
  <si>
    <t>Número de horas estimadas para la auditoría</t>
  </si>
  <si>
    <t>¿La estrategia de auditoría está documentada?</t>
  </si>
  <si>
    <t>¿Para el desarrollo de las labores de auditoría externa, la firma auditora utilizó un sistema informático?</t>
  </si>
  <si>
    <t>¿Identifique el nombre del sistema informático de apoyo para las labores de auditoría externa?</t>
  </si>
  <si>
    <t>¿los papeles de trabajo incluyeron la evidencia obtenida, explicaciones recibidas durante la auditoría y conclusiones para cada cuenta analizada?</t>
  </si>
  <si>
    <t>¿Los papeles de trabajo se encuentran referenciados y firmados por el integrante del equipo que realizó el trabajo y por quien lo supervisó?</t>
  </si>
  <si>
    <t>Marque los aspectos analizados sobre los pedidos de confirmación:</t>
  </si>
  <si>
    <t>Entidades Financieras</t>
  </si>
  <si>
    <t>Clientes</t>
  </si>
  <si>
    <t>Proveedores</t>
  </si>
  <si>
    <t>Abogados o Asesores Legales</t>
  </si>
  <si>
    <t>Partes relacionadas</t>
  </si>
  <si>
    <t>Otros acreedores financieros</t>
  </si>
  <si>
    <t>¿Existió algún evento significativo que ha tenido, o tiene, un impacto negativo sobre la situación financiera de la compañía auditada?</t>
  </si>
  <si>
    <t>¿la compañía auditada entregó toda la documentación para la elaboración de este informe?</t>
  </si>
  <si>
    <t>¿Fue obtenida una carta de representación de la Entidad, en relación con los estados financieros auditados?</t>
  </si>
  <si>
    <t>¿Evaluó el control interno de la compañía, y emitió un manual de recomendaciones o memorando a la gerencia?</t>
  </si>
  <si>
    <t>DESCRIPCIÓN</t>
  </si>
  <si>
    <t>¿APLICÓ REVISIÓN?</t>
  </si>
  <si>
    <t>¿ESTABA AUTORIZADO?</t>
  </si>
  <si>
    <t>Identificación de la antiguedad de los aportes de socios o accionistas para futura capitalización(debidamente conciliada con la cuenta 302):</t>
  </si>
  <si>
    <t>¿La compañía auditada generó ingresos operacionales?</t>
  </si>
  <si>
    <t>¿Se cumplieron los plazos de presentación de los informes, borradores y otros documentos a entregar en la compañía auditada, conforme el compromiso asumido por el auditor, consignado en la propuesta de servicios profesionales o en el Contrato respectivo?</t>
  </si>
  <si>
    <t>¿El auditor participó en la toma física del inventario al momento del cierre fiscal?</t>
  </si>
  <si>
    <t>NO APLICA</t>
  </si>
  <si>
    <t>¿Se realizó un inventario físico de las existencias y se ajustaron los saldos contables en función al resultado de este inventario y están debidamente aprobados por el órgano competente dentro de la compañía?</t>
  </si>
  <si>
    <t>Indique el tiempo efectivamente invertido en número de horas para efectuar la auditoría externa(desde proceso de contratación hasta la comunicación de resultados)</t>
  </si>
  <si>
    <t>HORAS</t>
  </si>
  <si>
    <t>¿Se realizaron procedimientos de auditoría para determinar que los hechos posteriores ocurridos entre la fecha del balance y la fecha del informe , fueron reflejados apropiadamente en los estados financieros?</t>
  </si>
  <si>
    <t>PARTES RELACIONADAS</t>
  </si>
  <si>
    <t>¿Se identificó que la compañía en el año auditado realizó transacciones con partes relacionadas?</t>
  </si>
  <si>
    <t>¿Las notas a los estados financieros reveleron transacciones importantes que la compañía efectuó con partes relacionadas?</t>
  </si>
  <si>
    <t>Identifique si existió alguna de las siguientes transacciones con partes relacionadas en el año auditado:</t>
  </si>
  <si>
    <t>Préstamos sin intereses, a tasas de interés significativamente altas o bajas en relación a las tasas existentes en el mercado, sin vencimiento o cláusulas sancionatorias de mora.</t>
  </si>
  <si>
    <t>Intercambio de propiedades por otras propiedades similares en una transacción no momentaria, cesiones de acreencias y cruces de cuentas.</t>
  </si>
  <si>
    <t>Inversiones permanentes importantes durante el año.</t>
  </si>
  <si>
    <t>Ventas locales o exportaciones; compras o importaciones a precios y condiciones preferenciales.</t>
  </si>
  <si>
    <t>Contrataciones de seguros, servicios administrativos, honorarios, regalías y asistencias técnicas.</t>
  </si>
  <si>
    <t>Arrendamiento mercantiles y ventas de activos fijos</t>
  </si>
  <si>
    <t>Transacciones de marcas, patentes, regalías y licencias.</t>
  </si>
  <si>
    <t>Concesión de garantías.</t>
  </si>
  <si>
    <t>¿Realizó indagaciones e investigaciones respecto a las transacciones con partes relacionadas?</t>
  </si>
  <si>
    <t>¿En caso de ser afirmativa la consulta anterior, controló que las revelaciones efectuadas por la entidad respecto a éstas fueron adecuadas?</t>
  </si>
  <si>
    <t>FECHA DE APORTE</t>
  </si>
  <si>
    <t>VALOR EN USD</t>
  </si>
  <si>
    <t>¿La compañía tiene obligación de entregar el informe o anexo de partes relacionadas ante la autoridad tributaria?</t>
  </si>
  <si>
    <t>La compañía auditada a la fecha de emisión del informe de auditoría cumplió con las obligaciones establecidas por las siguientes instituciones:</t>
  </si>
  <si>
    <t>Descripción de órgano del control</t>
  </si>
  <si>
    <t>Superintendencia de Compañías, Valores y Seguros</t>
  </si>
  <si>
    <t>Servicio de Rentas Internas</t>
  </si>
  <si>
    <t>Instituto Ecuatoriano de Seguridad Social</t>
  </si>
  <si>
    <t>Ministerio de Relaciones Laborales</t>
  </si>
  <si>
    <t>Identifique las principales fuentes de financiamiento vigentes al año auditado:</t>
  </si>
  <si>
    <t>Con Instituciones Financieras</t>
  </si>
  <si>
    <t>Accionistas</t>
  </si>
  <si>
    <t>Partes Relacionadas</t>
  </si>
  <si>
    <t>RECURSOS DE TERCEROS</t>
  </si>
  <si>
    <t>¿La compañía auditada recibió recursos financieros de parte de sus clientes, en forma anticipada a la prestación de un servicio o a la entrega de un bien?</t>
  </si>
  <si>
    <t>¿La compañía auditada posee garantías suficientes para respaldar el cumplimiento de estas obligaciones?</t>
  </si>
  <si>
    <t>¿Las notas a los estados financieros revelan estas transacciones?</t>
  </si>
  <si>
    <t>PRUEBAS NIIF</t>
  </si>
  <si>
    <t>Las normas contables utilizadas por la compañía auditada fueron:</t>
  </si>
  <si>
    <t>NIIF</t>
  </si>
  <si>
    <t>OTRAS</t>
  </si>
  <si>
    <t>La compañía auditada aplicó:</t>
  </si>
  <si>
    <t>NIIF COMPLETAS</t>
  </si>
  <si>
    <t>¿Los estados financieros emitidos, cumplen las características cualitativas de las NIIF?</t>
  </si>
  <si>
    <t>¿El auditor externo evaluó el deterioro del instrumento financiero NIIF 9?</t>
  </si>
  <si>
    <t>MODELO DEL COSTO</t>
  </si>
  <si>
    <t>¿El Perito está calificado por la Superintendencia de Compañías, Valores y Seguros?</t>
  </si>
  <si>
    <t>¿La compañía es constituyente o beneficiario de fideicomiso?</t>
  </si>
  <si>
    <t>NEGOCIO EN MARCHA</t>
  </si>
  <si>
    <t>¿La empresa auditada cumplió con la hipótesis de negocio en marcha de conformidad con la Sección 3 párrafo 8?</t>
  </si>
  <si>
    <t>El dictamen contiene párrafos de énfasis.</t>
  </si>
  <si>
    <t>Fecha de Acta de entrega del Informe de Auditoría:</t>
  </si>
  <si>
    <t>Corresponde a la fecha en que el auditor externo entrega el informe de auditoría externa a la compañía auditada.</t>
  </si>
  <si>
    <t>DOCUMENTOS REQUERIDOS EN FORMATO PDF</t>
  </si>
  <si>
    <t>Papeles de trabajo de Materialidad</t>
  </si>
  <si>
    <t>Dictamen de Auditoría externa</t>
  </si>
  <si>
    <t>Papeles de trabajo de Utilidades Acumuladas y distribución de dividendos</t>
  </si>
  <si>
    <t>Anexos al Dictamen de Auditoría externa</t>
  </si>
  <si>
    <t>Acta de entrega del informe</t>
  </si>
  <si>
    <t>Infique brevemente los motivos que originaron el párrafo de énfasis.</t>
  </si>
  <si>
    <t>Comunicación de deficiencias en el control interno</t>
  </si>
  <si>
    <t>¿¿¿¿</t>
  </si>
  <si>
    <t xml:space="preserve">En nuestra opinión, los estados financieros adjuntos presentan razonablemente, en todos sus aspectos importantes, la situación financiera de XXXXXXXXXXXXXXX al 31 de diciembre del 201XXX, así como sus resultados y flujos de efectivo correspondientes al ejercicio terminado en esa fecha, de conformidad con las Normas Internacionales de Información Financiera (NIIFXXXXXXX).
Fundamento de la opinión.
Hemos llevado a cabo nuestra auditoría de conformidad con las Normas Internacionales de Auditoría (NIA). Nuestras responsabilidades de acuerdo con dichas normas se describen más adelante en la sección Responsabilidades del auditor en relación con la auditoría de los estados financieros de nuestro informe
Consideramos que la evidencia de auditoría que hemos obtenido proporciona una base suficiente y adecuada para nuestra opinión
</t>
  </si>
  <si>
    <t>INDIVIDUAL</t>
  </si>
  <si>
    <t>CONSOLIDADO</t>
  </si>
  <si>
    <t>OBJETIVOS:</t>
  </si>
  <si>
    <t>X</t>
  </si>
  <si>
    <t>✔</t>
  </si>
  <si>
    <t>Estado De Situación Financiera</t>
  </si>
  <si>
    <t>Estado De Resultado Integral</t>
  </si>
  <si>
    <t>Estado De Cambio En El Patrimonio</t>
  </si>
  <si>
    <t>Estado De Flujo De Efectivo</t>
  </si>
  <si>
    <t>Notas A Los Estados Financieros</t>
  </si>
  <si>
    <t>ALCANCE</t>
  </si>
  <si>
    <t>NIIF PYMES</t>
  </si>
  <si>
    <t>INDICAR SI ES</t>
  </si>
  <si>
    <t>CÉDULA</t>
  </si>
  <si>
    <t>PASAPORTE</t>
  </si>
  <si>
    <t>Información se llena en línea</t>
  </si>
  <si>
    <t>ACTIVO</t>
  </si>
  <si>
    <t>PASIVO</t>
  </si>
  <si>
    <t>PATRIMONIO</t>
  </si>
  <si>
    <t>INGRESO</t>
  </si>
  <si>
    <t>GASTO</t>
  </si>
  <si>
    <t>Marque solo las cuentas patrimoniales en las que se verificó que las operaciones fueron debidamente autorizadas por el órgano competente de la compañía</t>
  </si>
  <si>
    <t>CUESTIONARIO NIFF COMPLETAS</t>
  </si>
  <si>
    <t>MARCO CONCEPTUAL</t>
  </si>
  <si>
    <t>SECCION  2</t>
  </si>
  <si>
    <t>MODELO DEL REAVALÚO</t>
  </si>
  <si>
    <t>CUESTIONARIO NIFF PYMES</t>
  </si>
  <si>
    <t>PERSONAL</t>
  </si>
  <si>
    <t xml:space="preserve">DIAS </t>
  </si>
  <si>
    <t>TOTAL</t>
  </si>
  <si>
    <t>PRELIMINAR</t>
  </si>
  <si>
    <t>FINAL</t>
  </si>
  <si>
    <t>INFORMES</t>
  </si>
  <si>
    <t>HORAS ESTIMADAS</t>
  </si>
  <si>
    <t>HORAS EFECTIVAMENTE INVERTIDAS</t>
  </si>
  <si>
    <t>Transacciones importantes con Partes Relacionadas</t>
  </si>
  <si>
    <t>Transacciones recursos recibidos por parte de clientes en forma anticipada.</t>
  </si>
  <si>
    <t>Si el dictamen contienen párrafos de énfasis motivos que origina.</t>
  </si>
  <si>
    <t>Determinación de Materialidad</t>
  </si>
  <si>
    <t>Aspectos analizados sobre entendimiento de negocio</t>
  </si>
  <si>
    <t>Cuentas Patrimoniales</t>
  </si>
  <si>
    <t>Antigüedad de aportes de socios o aumento de capital</t>
  </si>
  <si>
    <t>Identificar si la compañía realizó transacciones con Partes Relacionadas</t>
  </si>
  <si>
    <t>Obligaciones con Instituciones</t>
  </si>
  <si>
    <t>Fuentes de financiamiento.</t>
  </si>
  <si>
    <t>a.</t>
  </si>
  <si>
    <t>c.</t>
  </si>
  <si>
    <t>d.</t>
  </si>
  <si>
    <t>b.</t>
  </si>
  <si>
    <t>PARTICULAR ATENCIÓN A LO SIGUIENTE:</t>
  </si>
  <si>
    <t>d,</t>
  </si>
  <si>
    <t>e.</t>
  </si>
  <si>
    <t>f.</t>
  </si>
  <si>
    <t>g.</t>
  </si>
  <si>
    <t>RAZÓN SOCIAL:</t>
  </si>
  <si>
    <t>¿¿</t>
  </si>
  <si>
    <t>RUC:</t>
  </si>
  <si>
    <t>EXPEDIENTE:</t>
  </si>
  <si>
    <t>INDICACIONES:</t>
  </si>
  <si>
    <t>¿</t>
  </si>
  <si>
    <t>ESTADOS FINANCIEROS SUJETOS A REVISIÓN</t>
  </si>
  <si>
    <t>¿¿¿</t>
  </si>
  <si>
    <t>¿¿¿¿¿</t>
  </si>
  <si>
    <t>¿¿¿¿¿¿¿¿</t>
  </si>
  <si>
    <r>
      <rPr>
        <b/>
        <u/>
        <sz val="11"/>
        <color rgb="FF000000"/>
        <rFont val="Cambria"/>
        <family val="1"/>
      </rPr>
      <t>TODAS las Operciones con partes relacionadas</t>
    </r>
    <r>
      <rPr>
        <sz val="11"/>
        <color rgb="FF000000"/>
        <rFont val="Cambria"/>
        <family val="1"/>
      </rPr>
      <t xml:space="preserve"> verifique si se efectuaron en términos y condiciones equiparables a otras de igual especie, realizadas con terceros.</t>
    </r>
  </si>
  <si>
    <r>
      <rPr>
        <b/>
        <u/>
        <sz val="11"/>
        <color rgb="FF000000"/>
        <rFont val="Cambria"/>
        <family val="1"/>
      </rPr>
      <t>TODOS los movimientoas del patrimonio</t>
    </r>
    <r>
      <rPr>
        <sz val="11"/>
        <color rgb="FF000000"/>
        <rFont val="Cambria"/>
        <family val="1"/>
      </rPr>
      <t xml:space="preserve"> deben estar soportados con actas de junta con copias en los papeles de trabajo</t>
    </r>
  </si>
  <si>
    <r>
      <rPr>
        <b/>
        <u/>
        <sz val="11"/>
        <color rgb="FF000000"/>
        <rFont val="Cambria"/>
        <family val="1"/>
      </rPr>
      <t>TODOS los Movimientos de activos fijos</t>
    </r>
    <r>
      <rPr>
        <b/>
        <sz val="11"/>
        <color rgb="FF000000"/>
        <rFont val="Cambria"/>
        <family val="1"/>
      </rPr>
      <t xml:space="preserve"> </t>
    </r>
    <r>
      <rPr>
        <sz val="11"/>
        <color rgb="FF000000"/>
        <rFont val="Cambria"/>
        <family val="1"/>
      </rPr>
      <t>deben quedar soportados con los diarios y si hay ventas con las facturas</t>
    </r>
  </si>
  <si>
    <t>Producir, importar, exportar, vender, comprar, distribuir y comercializar productos y servicios relacionados con la perforación petrolera; b) Servicios de inspección, mantenimiento, reparación y ajuste de tuberías; c) Servicios de perforación direccional, incluido el servicio de toma de medidas durante la perforación y servicio de registro durante la perforación...</t>
  </si>
  <si>
    <t>MARQUE EL TIPO DE OPINIÓN EMITIDA CORRESPONDIENTE AL PERÍODO AUDITADO:</t>
  </si>
  <si>
    <t>662 3ANG ACIA LTDA</t>
  </si>
  <si>
    <t>NO PRESENTO AUDITORIA AÑO ANTERIOR</t>
  </si>
  <si>
    <t>MAPEO FORM.101 EN EXCEL CONFORME AL 101 CARGADO POR EL CLIENTE</t>
  </si>
  <si>
    <t>CI Representante Legal:</t>
  </si>
  <si>
    <t>Factores que afecta su operatividad</t>
  </si>
  <si>
    <t>¿Se encuentra documentado dentro del proceso de la auditoría el entendimiento del sistema de contabilidad utilizado por la compañía auditada sobre el registro de operaciones, preparación de estados financieros y otra información emitida?</t>
  </si>
  <si>
    <t>xxxxxxxxxxxxxxxxxxxxxxxxx</t>
  </si>
  <si>
    <t>CTA</t>
  </si>
  <si>
    <t>(-) Cap.susc. No pagado, acciones en tesorería</t>
  </si>
  <si>
    <t>(-) pérdida del ejercicio</t>
  </si>
  <si>
    <t>Aportes de socios o accionistas para futura capitalización</t>
  </si>
  <si>
    <t>Capital suscrito y/o asignado</t>
  </si>
  <si>
    <t>Otros superávits por revaluación (casillero informativo)</t>
  </si>
  <si>
    <t>Reserva de capital</t>
  </si>
  <si>
    <t>Reservas facultativas</t>
  </si>
  <si>
    <t>Reserva legal</t>
  </si>
  <si>
    <t>Reserva por donaciones</t>
  </si>
  <si>
    <t>Reserva por valuación</t>
  </si>
  <si>
    <t>Superávit por revaluación de activos intangibles (casillero informativo)</t>
  </si>
  <si>
    <t>Superávit por revaluación de inversiones</t>
  </si>
  <si>
    <t>Utilidad no distribuida ejercicios anteriores</t>
  </si>
  <si>
    <t>Utilidad del ejercicio</t>
  </si>
  <si>
    <t>Nota: Revise en las actas de aumento de capital en la Supercias, La fecha del último aumento de capital, en caso de no haber indicar el valor de capital de constitución con fecha.</t>
  </si>
  <si>
    <t>Responda</t>
  </si>
  <si>
    <t>Principales fuentes de financiamiento</t>
  </si>
  <si>
    <t>Responda de acuerdo a si es NIFF COMPLETAS O PYMES</t>
  </si>
  <si>
    <t>1.</t>
  </si>
  <si>
    <t>2.</t>
  </si>
  <si>
    <t>3.</t>
  </si>
  <si>
    <t>4.</t>
  </si>
  <si>
    <t>¿Cuál fue la política contable para la medición de la propiedad, planta y equipos?</t>
  </si>
  <si>
    <t>Parte 2</t>
  </si>
  <si>
    <r>
      <t>¿El auditor externo evaluó la razonabilidad de las provisiones para deterioro que no estén dentro del alcance la </t>
    </r>
    <r>
      <rPr>
        <b/>
        <sz val="12"/>
        <color theme="1"/>
        <rFont val="Cambria"/>
        <family val="1"/>
      </rPr>
      <t>Sección 11</t>
    </r>
    <r>
      <rPr>
        <sz val="12"/>
        <color theme="1"/>
        <rFont val="Cambria"/>
        <family val="1"/>
      </rPr>
      <t>?</t>
    </r>
  </si>
  <si>
    <r>
      <t>¿Estan los inventarios medidos al menor valor entre el costo y el neto realizable </t>
    </r>
    <r>
      <rPr>
        <b/>
        <sz val="12"/>
        <color theme="1"/>
        <rFont val="Cambria"/>
        <family val="1"/>
      </rPr>
      <t>Sección 13</t>
    </r>
    <r>
      <rPr>
        <sz val="12"/>
        <color theme="1"/>
        <rFont val="Cambria"/>
        <family val="1"/>
      </rPr>
      <t>?</t>
    </r>
  </si>
  <si>
    <r>
      <t>¿Para la propiedad, planta y equipo se ha reconocido el deterioro de conformidad con </t>
    </r>
    <r>
      <rPr>
        <b/>
        <sz val="12"/>
        <color theme="1"/>
        <rFont val="Cambria"/>
        <family val="1"/>
      </rPr>
      <t>NIC 36</t>
    </r>
    <r>
      <rPr>
        <sz val="12"/>
        <color theme="1"/>
        <rFont val="Cambria"/>
        <family val="1"/>
      </rPr>
      <t>?</t>
    </r>
  </si>
  <si>
    <r>
      <t>¿Las notas a los estados financieros contienen la información a revelar requerída en la </t>
    </r>
    <r>
      <rPr>
        <b/>
        <sz val="12"/>
        <color theme="1"/>
        <rFont val="Cambria"/>
        <family val="1"/>
      </rPr>
      <t>NIC 16</t>
    </r>
    <r>
      <rPr>
        <sz val="12"/>
        <color theme="1"/>
        <rFont val="Cambria"/>
        <family val="1"/>
      </rPr>
      <t>?</t>
    </r>
  </si>
  <si>
    <r>
      <t>¿Se aplicaron pruebas de auditoría para determinar la suficiencia de previsión del activo o pasivo por impuesto diferido, de conformidad con </t>
    </r>
    <r>
      <rPr>
        <b/>
        <sz val="12"/>
        <color theme="1"/>
        <rFont val="Cambria"/>
        <family val="1"/>
      </rPr>
      <t>NIC 12</t>
    </r>
    <r>
      <rPr>
        <sz val="12"/>
        <color theme="1"/>
        <rFont val="Cambria"/>
        <family val="1"/>
      </rPr>
      <t>?</t>
    </r>
  </si>
  <si>
    <r>
      <t xml:space="preserve">¿En caso de tratarse de empresas del sector agrícola o ganadero, se ha aplicado los criterios de valuación y revelación requeridos por </t>
    </r>
    <r>
      <rPr>
        <b/>
        <sz val="12"/>
        <color theme="1"/>
        <rFont val="Cambria"/>
        <family val="1"/>
      </rPr>
      <t>NIC 41</t>
    </r>
    <r>
      <rPr>
        <sz val="12"/>
        <color theme="1"/>
        <rFont val="Cambria"/>
        <family val="1"/>
      </rPr>
      <t>?</t>
    </r>
  </si>
  <si>
    <r>
      <t xml:space="preserve">¿En caso de tratarse de empresas del sector de la construcción, se ha aplicado los criterios de valuación y revelación requeridos por </t>
    </r>
    <r>
      <rPr>
        <b/>
        <sz val="12"/>
        <color theme="1"/>
        <rFont val="Cambria"/>
        <family val="1"/>
      </rPr>
      <t>NIC 11</t>
    </r>
    <r>
      <rPr>
        <sz val="12"/>
        <color theme="1"/>
        <rFont val="Cambria"/>
        <family val="1"/>
      </rPr>
      <t>?</t>
    </r>
  </si>
  <si>
    <r>
      <t>¿En caso de tratarse de empresas del sector de la construcción, se ha aplicado los criterios de valuación y revelación requeridos por </t>
    </r>
    <r>
      <rPr>
        <b/>
        <sz val="12"/>
        <color theme="1"/>
        <rFont val="Cambria"/>
        <family val="1"/>
      </rPr>
      <t>NIC 6</t>
    </r>
    <r>
      <rPr>
        <sz val="12"/>
        <color theme="1"/>
        <rFont val="Cambria"/>
        <family val="1"/>
      </rPr>
      <t>?</t>
    </r>
  </si>
  <si>
    <r>
      <t>¿Las notas a los estados financieros revelan la información requerida en la </t>
    </r>
    <r>
      <rPr>
        <b/>
        <sz val="12"/>
        <color theme="1"/>
        <rFont val="Cambria"/>
        <family val="1"/>
      </rPr>
      <t>NIC 9</t>
    </r>
    <r>
      <rPr>
        <sz val="12"/>
        <color theme="1"/>
        <rFont val="Cambria"/>
        <family val="1"/>
      </rPr>
      <t>?</t>
    </r>
  </si>
  <si>
    <t>5.</t>
  </si>
  <si>
    <t>6.</t>
  </si>
  <si>
    <t>7.</t>
  </si>
  <si>
    <t>8.</t>
  </si>
  <si>
    <t>10.</t>
  </si>
  <si>
    <t>9,</t>
  </si>
  <si>
    <t>11.</t>
  </si>
  <si>
    <t>12.</t>
  </si>
  <si>
    <t>13.</t>
  </si>
  <si>
    <r>
      <t>¿El auditor externo evaluó la razonabilidad de las provisiones para deterioro que no estén dentro del alcance la </t>
    </r>
    <r>
      <rPr>
        <b/>
        <sz val="12"/>
        <color theme="1"/>
        <rFont val="Cambria"/>
        <family val="1"/>
      </rPr>
      <t>NIIF 9</t>
    </r>
    <r>
      <rPr>
        <sz val="12"/>
        <color theme="1"/>
        <rFont val="Cambria"/>
        <family val="1"/>
      </rPr>
      <t>?</t>
    </r>
  </si>
  <si>
    <r>
      <t>¿Estan los inventarios medidos al menor valor entre el costo y el neto realizable </t>
    </r>
    <r>
      <rPr>
        <b/>
        <sz val="12"/>
        <color theme="1"/>
        <rFont val="Cambria"/>
        <family val="1"/>
      </rPr>
      <t>NIC 2</t>
    </r>
    <r>
      <rPr>
        <sz val="12"/>
        <color theme="1"/>
        <rFont val="Cambria"/>
        <family val="1"/>
      </rPr>
      <t>?</t>
    </r>
  </si>
  <si>
    <r>
      <t>¿El auditor externo evaluó el deterioro del instrumento financiero </t>
    </r>
    <r>
      <rPr>
        <b/>
        <sz val="12"/>
        <color theme="1"/>
        <rFont val="Cambria"/>
        <family val="1"/>
      </rPr>
      <t>Sección 11</t>
    </r>
    <r>
      <rPr>
        <sz val="12"/>
        <color theme="1"/>
        <rFont val="Cambria"/>
        <family val="1"/>
      </rPr>
      <t>?</t>
    </r>
  </si>
  <si>
    <r>
      <t xml:space="preserve">¿Para la propiedad, planta y equipo se ha reconocido el deterioro de conformidad con la </t>
    </r>
    <r>
      <rPr>
        <b/>
        <sz val="12"/>
        <color theme="1"/>
        <rFont val="Cambria"/>
        <family val="1"/>
      </rPr>
      <t>sección 27</t>
    </r>
    <r>
      <rPr>
        <sz val="12"/>
        <color theme="1"/>
        <rFont val="Cambria"/>
        <family val="1"/>
      </rPr>
      <t>?</t>
    </r>
  </si>
  <si>
    <r>
      <t>¿Las notas a los estados financieros contienen la información a revelar requerída en la </t>
    </r>
    <r>
      <rPr>
        <b/>
        <sz val="12"/>
        <color theme="1"/>
        <rFont val="Cambria"/>
        <family val="1"/>
      </rPr>
      <t>Sección 17</t>
    </r>
    <r>
      <rPr>
        <sz val="12"/>
        <color theme="1"/>
        <rFont val="Cambria"/>
        <family val="1"/>
      </rPr>
      <t>?</t>
    </r>
  </si>
  <si>
    <r>
      <t>¿Las notas a los estados financieros revelan  la información a revelar requerída en la </t>
    </r>
    <r>
      <rPr>
        <b/>
        <sz val="12"/>
        <color theme="1"/>
        <rFont val="Cambria"/>
        <family val="1"/>
      </rPr>
      <t>Sección 11 y 12</t>
    </r>
    <r>
      <rPr>
        <sz val="12"/>
        <color theme="1"/>
        <rFont val="Cambria"/>
        <family val="1"/>
      </rPr>
      <t>?</t>
    </r>
  </si>
  <si>
    <r>
      <t xml:space="preserve">¿Se aplicaron pruebas de auditoría para determinar la suficiencia de previsión del activo o pasivo por impuesto diferido, de conformidad con la sección 29 </t>
    </r>
    <r>
      <rPr>
        <b/>
        <sz val="12"/>
        <color theme="1"/>
        <rFont val="Cambria"/>
        <family val="1"/>
      </rPr>
      <t>(NIIF para PYMES)</t>
    </r>
    <r>
      <rPr>
        <sz val="12"/>
        <color theme="1"/>
        <rFont val="Cambria"/>
        <family val="1"/>
      </rPr>
      <t>?</t>
    </r>
  </si>
  <si>
    <r>
      <t xml:space="preserve">¿En caso de tratarse de empresas del sector agrícola o ganadero, se ha aplicado los criterios de valuación y revelación requeridos por </t>
    </r>
    <r>
      <rPr>
        <b/>
        <sz val="12"/>
        <color theme="1"/>
        <rFont val="Cambria"/>
        <family val="1"/>
      </rPr>
      <t xml:space="preserve"> la sección 34 párrafos 4-10?</t>
    </r>
  </si>
  <si>
    <r>
      <t xml:space="preserve">¿En caso de tratarse de empresas del sector de la construcción, se ha aplicado los criterios de valuación y revelación requeridos por la </t>
    </r>
    <r>
      <rPr>
        <b/>
        <sz val="12"/>
        <color theme="1"/>
        <rFont val="Cambria"/>
        <family val="1"/>
      </rPr>
      <t>sección 23</t>
    </r>
    <r>
      <rPr>
        <sz val="12"/>
        <color theme="1"/>
        <rFont val="Cambria"/>
        <family val="1"/>
      </rPr>
      <t>?</t>
    </r>
  </si>
  <si>
    <r>
      <t xml:space="preserve">¿En caso de tratarse de empresas que realizan exploración y evaluación de recursos minerales, se ha aplicado los criterios de valuación y revelación requeridas por la </t>
    </r>
    <r>
      <rPr>
        <b/>
        <sz val="12"/>
        <color theme="1"/>
        <rFont val="Cambria"/>
        <family val="1"/>
      </rPr>
      <t>Sección 34 párrafos 11</t>
    </r>
    <r>
      <rPr>
        <sz val="12"/>
        <color theme="1"/>
        <rFont val="Cambria"/>
        <family val="1"/>
      </rPr>
      <t>?</t>
    </r>
  </si>
  <si>
    <t>xxxxxxxxxxxxxxxx</t>
  </si>
  <si>
    <t>4</t>
  </si>
  <si>
    <t>CALCULO DE LAS HORAS</t>
  </si>
  <si>
    <t>Superávit por revaluación de propiedades, P Y E ( informativo)</t>
  </si>
  <si>
    <t>Superávit de activos financieros dispon para la vta (informativo)</t>
  </si>
  <si>
    <t>Resultados acumulados provenientes de la adopción por 1era vez de las niif</t>
  </si>
  <si>
    <t>Entendimiento del negocio</t>
  </si>
  <si>
    <t>xxxxxxx</t>
  </si>
  <si>
    <t>ASPECTOS QUE  DEBEN REVELAR LAS NOTAS A LOS ESTADOS FINANCIEROS</t>
  </si>
  <si>
    <t>15 DE MARZO DEL 2021</t>
  </si>
  <si>
    <t>(Ver opinión)</t>
  </si>
  <si>
    <r>
      <rPr>
        <b/>
        <u/>
        <sz val="11"/>
        <color rgb="FF000000"/>
        <rFont val="Cambria"/>
        <family val="1"/>
      </rPr>
      <t>TODAS las obligaciones bancarias y PARTES RELACIONADAS</t>
    </r>
    <r>
      <rPr>
        <sz val="11"/>
        <color rgb="FF000000"/>
        <rFont val="Cambria"/>
        <family val="1"/>
      </rPr>
      <t xml:space="preserve">  deben tener la confirmacion de saldos</t>
    </r>
  </si>
  <si>
    <t>Llenar</t>
  </si>
  <si>
    <t>10 de marzo 1998</t>
  </si>
  <si>
    <t>revisar</t>
  </si>
  <si>
    <t>Este cuestionario debe incluirlo y ligarlo a la sumaria, pegar con formato de origen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</si>
</sst>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3" x14ac:knownFonts="1">
    <font>
      <sz val="11"/>
      <color theme="1"/>
      <name val="Calibri"/>
      <family val="2"/>
      <scheme val="minor"/>
    </font>
    <font>
      <sz val="11"/>
      <color theme="1"/>
      <name val="Calibri"/>
      <family val="2"/>
      <scheme val="minor"/>
    </font>
    <font>
      <sz val="12"/>
      <color theme="1"/>
      <name val="Cambria"/>
      <family val="1"/>
    </font>
    <font>
      <sz val="11"/>
      <color theme="1"/>
      <name val="Cambria"/>
      <family val="1"/>
    </font>
    <font>
      <b/>
      <sz val="12"/>
      <color theme="1"/>
      <name val="Cambria"/>
      <family val="1"/>
    </font>
    <font>
      <b/>
      <sz val="12"/>
      <color rgb="FF000000"/>
      <name val="Cambria"/>
      <family val="1"/>
    </font>
    <font>
      <b/>
      <sz val="12"/>
      <color rgb="FFFF0000"/>
      <name val="Cambria"/>
      <family val="1"/>
    </font>
    <font>
      <sz val="12"/>
      <color rgb="FF000000"/>
      <name val="Cambria"/>
      <family val="1"/>
    </font>
    <font>
      <b/>
      <sz val="11"/>
      <color theme="1"/>
      <name val="Cambria"/>
      <family val="1"/>
    </font>
    <font>
      <i/>
      <u/>
      <sz val="12"/>
      <color theme="1"/>
      <name val="Cambria"/>
      <family val="1"/>
    </font>
    <font>
      <sz val="12"/>
      <color rgb="FF252525"/>
      <name val="Cambria"/>
      <family val="1"/>
    </font>
    <font>
      <b/>
      <sz val="11"/>
      <color rgb="FF000000"/>
      <name val="Cambria"/>
      <family val="1"/>
    </font>
    <font>
      <sz val="11"/>
      <color rgb="FF252525"/>
      <name val="Cambria"/>
      <family val="1"/>
    </font>
    <font>
      <sz val="9"/>
      <color theme="1"/>
      <name val="Cambria"/>
      <family val="1"/>
    </font>
    <font>
      <b/>
      <i/>
      <sz val="12"/>
      <color theme="1"/>
      <name val="Cambria"/>
      <family val="1"/>
    </font>
    <font>
      <b/>
      <sz val="12"/>
      <color rgb="FF222222"/>
      <name val="Cambria"/>
      <family val="1"/>
    </font>
    <font>
      <sz val="12"/>
      <color rgb="FFFF0000"/>
      <name val="Cambria"/>
      <family val="1"/>
    </font>
    <font>
      <b/>
      <sz val="12"/>
      <name val="Cambria"/>
      <family val="1"/>
    </font>
    <font>
      <sz val="12"/>
      <name val="Cambria"/>
      <family val="1"/>
    </font>
    <font>
      <sz val="10"/>
      <color theme="1"/>
      <name val="Cambria"/>
      <family val="1"/>
    </font>
    <font>
      <b/>
      <sz val="10"/>
      <color rgb="FFFF0000"/>
      <name val="Cambria"/>
      <family val="1"/>
    </font>
    <font>
      <b/>
      <sz val="11"/>
      <color rgb="FFFF0000"/>
      <name val="Cambria"/>
      <family val="1"/>
    </font>
    <font>
      <sz val="11"/>
      <color rgb="FF222222"/>
      <name val="Cambria"/>
      <family val="1"/>
    </font>
    <font>
      <sz val="11"/>
      <color rgb="FF000000"/>
      <name val="Cambria"/>
      <family val="1"/>
    </font>
    <font>
      <b/>
      <u/>
      <sz val="11"/>
      <color rgb="FF000000"/>
      <name val="Cambria"/>
      <family val="1"/>
    </font>
    <font>
      <sz val="11"/>
      <color rgb="FF202124"/>
      <name val="Cambria"/>
      <family val="1"/>
    </font>
    <font>
      <sz val="9.5"/>
      <color theme="1"/>
      <name val="Cambria"/>
      <family val="1"/>
    </font>
    <font>
      <sz val="11"/>
      <name val="Cambria"/>
      <family val="1"/>
    </font>
    <font>
      <b/>
      <sz val="10"/>
      <name val="Cambria"/>
      <family val="1"/>
    </font>
    <font>
      <b/>
      <sz val="11"/>
      <name val="Cambria"/>
      <family val="1"/>
    </font>
    <font>
      <sz val="8"/>
      <color theme="1"/>
      <name val="Cambria"/>
      <family val="1"/>
    </font>
    <font>
      <i/>
      <sz val="9.5"/>
      <color theme="1"/>
      <name val="Cambria"/>
      <family val="1"/>
    </font>
    <font>
      <sz val="11"/>
      <color rgb="FFFF0000"/>
      <name val="Cambria"/>
      <family val="1"/>
    </font>
  </fonts>
  <fills count="6">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s>
  <borders count="28">
    <border>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337">
    <xf numFmtId="0" fontId="0" fillId="0" borderId="0" xfId="0"/>
    <xf numFmtId="0" fontId="2" fillId="0" borderId="0" xfId="0" applyFont="1"/>
    <xf numFmtId="0" fontId="3" fillId="0" borderId="0" xfId="0" applyFont="1"/>
    <xf numFmtId="0" fontId="4" fillId="0" borderId="0" xfId="0" applyFont="1" applyFill="1" applyBorder="1" applyAlignment="1">
      <alignment vertical="center"/>
    </xf>
    <xf numFmtId="0" fontId="7" fillId="0" borderId="0" xfId="0" applyFont="1"/>
    <xf numFmtId="0" fontId="4" fillId="0" borderId="0" xfId="0" applyFont="1"/>
    <xf numFmtId="0" fontId="2" fillId="0" borderId="0" xfId="0" applyFont="1" applyAlignment="1">
      <alignment vertical="center"/>
    </xf>
    <xf numFmtId="0" fontId="2" fillId="0" borderId="4" xfId="0" applyFont="1" applyBorder="1"/>
    <xf numFmtId="0" fontId="4" fillId="0" borderId="6" xfId="0" applyFont="1" applyBorder="1"/>
    <xf numFmtId="0" fontId="8" fillId="0" borderId="0" xfId="0" applyFont="1"/>
    <xf numFmtId="0" fontId="4" fillId="0" borderId="0" xfId="0" applyFont="1" applyBorder="1"/>
    <xf numFmtId="0" fontId="3" fillId="0" borderId="0" xfId="0" applyFont="1" applyBorder="1"/>
    <xf numFmtId="0" fontId="3" fillId="0" borderId="6" xfId="0" applyFont="1" applyBorder="1"/>
    <xf numFmtId="0" fontId="9" fillId="0" borderId="0" xfId="0" applyFont="1"/>
    <xf numFmtId="0" fontId="14" fillId="0" borderId="0" xfId="0" applyFont="1"/>
    <xf numFmtId="0" fontId="2" fillId="0" borderId="0" xfId="0" applyFont="1" applyBorder="1"/>
    <xf numFmtId="0" fontId="2" fillId="3" borderId="6" xfId="0" applyFont="1" applyFill="1" applyBorder="1"/>
    <xf numFmtId="0" fontId="2" fillId="4" borderId="6" xfId="0" applyFont="1" applyFill="1" applyBorder="1"/>
    <xf numFmtId="0" fontId="2" fillId="0" borderId="0" xfId="0" applyFont="1" applyFill="1" applyBorder="1" applyAlignment="1">
      <alignment vertical="center"/>
    </xf>
    <xf numFmtId="0" fontId="2" fillId="0" borderId="0" xfId="0" applyFont="1" applyFill="1" applyBorder="1"/>
    <xf numFmtId="0" fontId="17" fillId="0" borderId="0" xfId="0" applyFont="1" applyFill="1" applyBorder="1" applyAlignment="1">
      <alignment horizontal="left" vertical="center"/>
    </xf>
    <xf numFmtId="0" fontId="2" fillId="3" borderId="4" xfId="0" applyFont="1" applyFill="1" applyBorder="1"/>
    <xf numFmtId="0" fontId="2" fillId="0" borderId="0" xfId="0" applyFont="1" applyAlignment="1">
      <alignment textRotation="255"/>
    </xf>
    <xf numFmtId="0" fontId="19" fillId="0" borderId="0" xfId="0" applyFont="1" applyAlignment="1">
      <alignment textRotation="255"/>
    </xf>
    <xf numFmtId="0" fontId="19" fillId="0" borderId="0" xfId="0" applyFont="1"/>
    <xf numFmtId="0" fontId="3" fillId="0" borderId="0" xfId="0" applyFont="1" applyAlignment="1">
      <alignment textRotation="255"/>
    </xf>
    <xf numFmtId="0" fontId="22" fillId="0" borderId="0" xfId="0" applyFont="1" applyAlignment="1">
      <alignment vertical="center"/>
    </xf>
    <xf numFmtId="0" fontId="19" fillId="0" borderId="0" xfId="0" applyFont="1" applyFill="1" applyAlignment="1">
      <alignment textRotation="255"/>
    </xf>
    <xf numFmtId="0" fontId="2" fillId="0" borderId="0" xfId="0" applyFont="1" applyFill="1"/>
    <xf numFmtId="0" fontId="19" fillId="0" borderId="0" xfId="0" applyFont="1" applyFill="1" applyAlignment="1">
      <alignment horizontal="justify" vertical="justify" wrapText="1"/>
    </xf>
    <xf numFmtId="0" fontId="3" fillId="0" borderId="0" xfId="0" applyFont="1" applyFill="1"/>
    <xf numFmtId="0" fontId="25" fillId="0" borderId="0" xfId="0" applyFont="1" applyAlignment="1">
      <alignment vertical="center" wrapText="1"/>
    </xf>
    <xf numFmtId="0" fontId="26" fillId="0" borderId="0" xfId="0" applyFont="1" applyAlignment="1">
      <alignment textRotation="255"/>
    </xf>
    <xf numFmtId="0" fontId="26" fillId="0" borderId="0" xfId="0" applyFont="1"/>
    <xf numFmtId="0" fontId="2" fillId="0" borderId="0" xfId="0" applyFont="1" applyFill="1" applyAlignment="1">
      <alignment textRotation="255"/>
    </xf>
    <xf numFmtId="0" fontId="2" fillId="0" borderId="0" xfId="0" applyFont="1" applyFill="1" applyAlignment="1">
      <alignment horizontal="justify" vertical="justify" wrapText="1"/>
    </xf>
    <xf numFmtId="0" fontId="26" fillId="0" borderId="0" xfId="0" applyFont="1" applyFill="1"/>
    <xf numFmtId="0" fontId="4" fillId="0" borderId="0" xfId="0" applyFont="1" applyFill="1" applyBorder="1"/>
    <xf numFmtId="0" fontId="2" fillId="4" borderId="0" xfId="0" applyFont="1" applyFill="1" applyBorder="1" applyAlignment="1">
      <alignment horizontal="center"/>
    </xf>
    <xf numFmtId="0" fontId="4" fillId="0" borderId="0" xfId="0" applyFont="1" applyFill="1"/>
    <xf numFmtId="0" fontId="4" fillId="0" borderId="0" xfId="0" applyFont="1" applyFill="1" applyBorder="1" applyAlignment="1">
      <alignment horizontal="center" wrapText="1"/>
    </xf>
    <xf numFmtId="0" fontId="4" fillId="0" borderId="13" xfId="0" applyFont="1" applyBorder="1"/>
    <xf numFmtId="0" fontId="2" fillId="0" borderId="13" xfId="0" applyFont="1" applyBorder="1" applyAlignment="1"/>
    <xf numFmtId="0" fontId="2" fillId="4" borderId="4" xfId="0" applyFont="1" applyFill="1" applyBorder="1"/>
    <xf numFmtId="9" fontId="4" fillId="0" borderId="7" xfId="1" applyFont="1" applyFill="1" applyBorder="1" applyAlignment="1">
      <alignment horizontal="right"/>
    </xf>
    <xf numFmtId="0" fontId="5" fillId="0" borderId="7" xfId="0" applyFont="1" applyBorder="1" applyAlignment="1"/>
    <xf numFmtId="0" fontId="2" fillId="0" borderId="3" xfId="0" applyFont="1" applyFill="1" applyBorder="1"/>
    <xf numFmtId="0" fontId="2" fillId="4" borderId="3" xfId="0" applyFont="1" applyFill="1" applyBorder="1"/>
    <xf numFmtId="0" fontId="3" fillId="4" borderId="6" xfId="0" applyFont="1" applyFill="1" applyBorder="1"/>
    <xf numFmtId="0" fontId="3" fillId="3" borderId="6" xfId="0" applyFont="1" applyFill="1" applyBorder="1"/>
    <xf numFmtId="0" fontId="3" fillId="3" borderId="3" xfId="0" applyFont="1" applyFill="1" applyBorder="1"/>
    <xf numFmtId="0" fontId="3" fillId="4" borderId="2" xfId="0" applyFont="1" applyFill="1" applyBorder="1"/>
    <xf numFmtId="0" fontId="2" fillId="0" borderId="0" xfId="0" applyFont="1" applyFill="1" applyBorder="1" applyAlignment="1">
      <alignment textRotation="255"/>
    </xf>
    <xf numFmtId="0" fontId="3" fillId="0" borderId="0" xfId="0" applyFont="1" applyFill="1" applyBorder="1"/>
    <xf numFmtId="0" fontId="3" fillId="4" borderId="0" xfId="0" applyFont="1" applyFill="1" applyBorder="1"/>
    <xf numFmtId="0" fontId="3" fillId="0" borderId="0" xfId="0" applyFont="1" applyFill="1" applyAlignment="1">
      <alignment textRotation="255"/>
    </xf>
    <xf numFmtId="0" fontId="8" fillId="0" borderId="0" xfId="0" applyFont="1" applyFill="1" applyAlignment="1">
      <alignment horizontal="justify" vertical="justify" wrapText="1"/>
    </xf>
    <xf numFmtId="0" fontId="8" fillId="0" borderId="0" xfId="0" applyFont="1" applyFill="1" applyBorder="1" applyAlignment="1">
      <alignment horizontal="justify" vertical="justify" wrapText="1"/>
    </xf>
    <xf numFmtId="0" fontId="4" fillId="0" borderId="0" xfId="0" applyFont="1" applyBorder="1" applyAlignment="1">
      <alignment horizontal="justify" vertical="justify" wrapText="1"/>
    </xf>
    <xf numFmtId="0" fontId="4" fillId="0" borderId="0" xfId="0" applyFont="1" applyFill="1" applyAlignment="1">
      <alignment horizontal="justify" vertical="justify" wrapText="1"/>
    </xf>
    <xf numFmtId="0" fontId="4" fillId="0" borderId="0" xfId="0" applyFont="1" applyFill="1" applyBorder="1" applyAlignment="1">
      <alignment horizontal="justify" vertical="justify" wrapText="1"/>
    </xf>
    <xf numFmtId="0" fontId="2" fillId="0" borderId="0" xfId="0" applyFont="1" applyBorder="1" applyAlignment="1">
      <alignment textRotation="255"/>
    </xf>
    <xf numFmtId="0" fontId="18" fillId="0" borderId="0" xfId="0" applyFont="1" applyFill="1" applyBorder="1" applyAlignment="1">
      <alignment textRotation="255"/>
    </xf>
    <xf numFmtId="0" fontId="27" fillId="0" borderId="0" xfId="0" applyFont="1" applyFill="1" applyBorder="1"/>
    <xf numFmtId="0" fontId="18" fillId="0" borderId="0" xfId="0" applyFont="1" applyFill="1" applyBorder="1"/>
    <xf numFmtId="0" fontId="4" fillId="0" borderId="0" xfId="0" applyFont="1" applyAlignment="1">
      <alignment horizontal="left" wrapText="1"/>
    </xf>
    <xf numFmtId="0" fontId="2" fillId="0" borderId="1" xfId="0" applyFont="1" applyFill="1" applyBorder="1"/>
    <xf numFmtId="0" fontId="28" fillId="0" borderId="6" xfId="0" applyFont="1" applyFill="1" applyBorder="1" applyAlignment="1">
      <alignment horizontal="center" vertical="center" wrapText="1"/>
    </xf>
    <xf numFmtId="0" fontId="10" fillId="4" borderId="0" xfId="0" applyFont="1" applyFill="1" applyBorder="1" applyAlignment="1">
      <alignment vertical="center"/>
    </xf>
    <xf numFmtId="0" fontId="2" fillId="4" borderId="0" xfId="0" applyFont="1" applyFill="1" applyBorder="1" applyAlignment="1"/>
    <xf numFmtId="0" fontId="2" fillId="2" borderId="3" xfId="0" applyFont="1" applyFill="1" applyBorder="1"/>
    <xf numFmtId="0" fontId="2" fillId="2" borderId="0" xfId="0" applyFont="1" applyFill="1" applyBorder="1"/>
    <xf numFmtId="0" fontId="2" fillId="2" borderId="0" xfId="0" applyFont="1" applyFill="1" applyBorder="1" applyAlignment="1">
      <alignment textRotation="255"/>
    </xf>
    <xf numFmtId="0" fontId="3" fillId="2" borderId="0" xfId="0" applyFont="1" applyFill="1" applyBorder="1"/>
    <xf numFmtId="0" fontId="2" fillId="3" borderId="8" xfId="0" applyFont="1" applyFill="1" applyBorder="1"/>
    <xf numFmtId="0" fontId="11" fillId="0" borderId="0" xfId="0" applyFont="1" applyFill="1" applyAlignment="1">
      <alignment horizontal="justify" vertical="justify" wrapText="1"/>
    </xf>
    <xf numFmtId="0" fontId="11" fillId="0" borderId="0" xfId="0" applyFont="1" applyFill="1" applyBorder="1" applyAlignment="1">
      <alignment horizontal="justify" vertical="justify" wrapText="1"/>
    </xf>
    <xf numFmtId="0" fontId="2" fillId="0" borderId="15" xfId="0" applyFont="1" applyFill="1" applyBorder="1"/>
    <xf numFmtId="0" fontId="2" fillId="0" borderId="16" xfId="0" applyFont="1" applyFill="1" applyBorder="1"/>
    <xf numFmtId="0" fontId="2" fillId="4" borderId="19" xfId="0" applyFont="1" applyFill="1" applyBorder="1"/>
    <xf numFmtId="0" fontId="2" fillId="4" borderId="15" xfId="0" applyFont="1" applyFill="1" applyBorder="1"/>
    <xf numFmtId="0" fontId="2" fillId="0" borderId="11" xfId="0" applyFont="1" applyBorder="1"/>
    <xf numFmtId="0" fontId="2" fillId="0" borderId="12" xfId="0" applyFont="1" applyBorder="1"/>
    <xf numFmtId="0" fontId="2" fillId="0" borderId="13" xfId="0" applyFont="1" applyBorder="1"/>
    <xf numFmtId="0" fontId="4" fillId="0" borderId="17" xfId="0" applyFont="1" applyBorder="1"/>
    <xf numFmtId="0" fontId="4" fillId="0" borderId="8" xfId="0" applyFont="1" applyBorder="1"/>
    <xf numFmtId="0" fontId="4" fillId="0" borderId="12" xfId="0" applyFont="1" applyBorder="1"/>
    <xf numFmtId="0" fontId="2" fillId="0" borderId="10" xfId="0" applyFont="1" applyBorder="1"/>
    <xf numFmtId="0" fontId="2" fillId="0" borderId="22" xfId="0" applyFont="1" applyFill="1" applyBorder="1"/>
    <xf numFmtId="0" fontId="2" fillId="4" borderId="23" xfId="0" applyFont="1" applyFill="1" applyBorder="1"/>
    <xf numFmtId="0" fontId="2" fillId="0" borderId="7" xfId="0" applyFont="1" applyBorder="1"/>
    <xf numFmtId="49" fontId="4" fillId="0" borderId="0" xfId="0" applyNumberFormat="1" applyFont="1" applyFill="1" applyBorder="1" applyAlignment="1">
      <alignment vertical="center"/>
    </xf>
    <xf numFmtId="49" fontId="5" fillId="0" borderId="0" xfId="0" applyNumberFormat="1" applyFont="1"/>
    <xf numFmtId="49" fontId="21" fillId="0" borderId="0" xfId="0" applyNumberFormat="1" applyFont="1" applyAlignment="1">
      <alignment horizontal="right"/>
    </xf>
    <xf numFmtId="49" fontId="6" fillId="0" borderId="0" xfId="0" applyNumberFormat="1" applyFont="1" applyAlignment="1">
      <alignment horizontal="right"/>
    </xf>
    <xf numFmtId="49" fontId="4" fillId="0" borderId="0" xfId="0" applyNumberFormat="1" applyFont="1"/>
    <xf numFmtId="49" fontId="15" fillId="0" borderId="0" xfId="0" applyNumberFormat="1" applyFont="1" applyAlignment="1">
      <alignment vertical="center"/>
    </xf>
    <xf numFmtId="49" fontId="2" fillId="0" borderId="0" xfId="0" applyNumberFormat="1" applyFont="1"/>
    <xf numFmtId="49" fontId="26" fillId="0" borderId="0" xfId="0" applyNumberFormat="1" applyFont="1"/>
    <xf numFmtId="49" fontId="2" fillId="0" borderId="0" xfId="0" applyNumberFormat="1" applyFont="1" applyFill="1"/>
    <xf numFmtId="49" fontId="11" fillId="0" borderId="0" xfId="0" applyNumberFormat="1" applyFont="1"/>
    <xf numFmtId="49" fontId="2" fillId="0" borderId="0" xfId="0" applyNumberFormat="1" applyFont="1" applyFill="1" applyBorder="1"/>
    <xf numFmtId="49" fontId="8" fillId="0" borderId="0" xfId="0" applyNumberFormat="1" applyFont="1" applyFill="1" applyAlignment="1">
      <alignment horizontal="justify" vertical="justify" wrapText="1"/>
    </xf>
    <xf numFmtId="49" fontId="3" fillId="0" borderId="0" xfId="0" applyNumberFormat="1" applyFont="1"/>
    <xf numFmtId="49" fontId="4" fillId="0" borderId="0" xfId="0" applyNumberFormat="1" applyFont="1" applyFill="1" applyAlignment="1">
      <alignment horizontal="justify" vertical="justify" wrapText="1"/>
    </xf>
    <xf numFmtId="49" fontId="4" fillId="0" borderId="0" xfId="0" applyNumberFormat="1" applyFont="1" applyAlignment="1">
      <alignment horizontal="left" wrapText="1"/>
    </xf>
    <xf numFmtId="49" fontId="17" fillId="0" borderId="6" xfId="0" applyNumberFormat="1" applyFont="1" applyFill="1" applyBorder="1" applyAlignment="1">
      <alignment horizontal="center" vertical="center" wrapText="1"/>
    </xf>
    <xf numFmtId="49" fontId="10" fillId="4" borderId="3" xfId="0" applyNumberFormat="1" applyFont="1" applyFill="1" applyBorder="1" applyAlignment="1">
      <alignment horizontal="left" vertical="center"/>
    </xf>
    <xf numFmtId="49" fontId="10" fillId="2" borderId="3" xfId="0" applyNumberFormat="1" applyFont="1" applyFill="1" applyBorder="1" applyAlignment="1">
      <alignment horizontal="left" vertical="center"/>
    </xf>
    <xf numFmtId="49" fontId="10" fillId="4" borderId="4" xfId="0" applyNumberFormat="1" applyFont="1" applyFill="1" applyBorder="1" applyAlignment="1">
      <alignment horizontal="left" vertical="center"/>
    </xf>
    <xf numFmtId="49" fontId="3" fillId="2" borderId="0" xfId="0" applyNumberFormat="1" applyFont="1" applyFill="1" applyBorder="1"/>
    <xf numFmtId="49" fontId="2" fillId="2" borderId="0" xfId="0" applyNumberFormat="1" applyFont="1" applyFill="1" applyBorder="1"/>
    <xf numFmtId="49" fontId="11" fillId="0" borderId="0" xfId="0" applyNumberFormat="1" applyFont="1" applyFill="1" applyAlignment="1">
      <alignment horizontal="justify" vertical="justify" wrapText="1"/>
    </xf>
    <xf numFmtId="49" fontId="4" fillId="0" borderId="0" xfId="0" applyNumberFormat="1" applyFont="1" applyBorder="1" applyAlignment="1">
      <alignment horizontal="justify" vertical="justify" wrapText="1"/>
    </xf>
    <xf numFmtId="49" fontId="3" fillId="0" borderId="0" xfId="0" applyNumberFormat="1" applyFont="1" applyFill="1" applyBorder="1"/>
    <xf numFmtId="49" fontId="4" fillId="0" borderId="0" xfId="0" applyNumberFormat="1" applyFont="1" applyFill="1" applyBorder="1" applyAlignment="1">
      <alignment horizontal="justify" vertical="justify" wrapText="1"/>
    </xf>
    <xf numFmtId="49" fontId="6" fillId="0" borderId="0" xfId="0" applyNumberFormat="1" applyFont="1"/>
    <xf numFmtId="49" fontId="20" fillId="0" borderId="0" xfId="0" applyNumberFormat="1" applyFont="1" applyAlignment="1">
      <alignment horizontal="right"/>
    </xf>
    <xf numFmtId="0" fontId="3" fillId="0" borderId="5" xfId="0" applyFont="1" applyBorder="1"/>
    <xf numFmtId="49" fontId="20" fillId="0" borderId="5" xfId="0" applyNumberFormat="1" applyFont="1" applyBorder="1" applyAlignment="1">
      <alignment horizontal="right"/>
    </xf>
    <xf numFmtId="0" fontId="6" fillId="0" borderId="0" xfId="0" applyFont="1" applyBorder="1"/>
    <xf numFmtId="49" fontId="20" fillId="0" borderId="3" xfId="0" applyNumberFormat="1" applyFont="1" applyBorder="1" applyAlignment="1">
      <alignment horizontal="right"/>
    </xf>
    <xf numFmtId="49" fontId="2" fillId="0" borderId="3" xfId="0" applyNumberFormat="1" applyFont="1" applyBorder="1"/>
    <xf numFmtId="0" fontId="2" fillId="3" borderId="23" xfId="0" applyFont="1" applyFill="1" applyBorder="1"/>
    <xf numFmtId="49" fontId="20" fillId="4" borderId="3" xfId="0" applyNumberFormat="1" applyFont="1" applyFill="1" applyBorder="1" applyAlignment="1">
      <alignment horizontal="right"/>
    </xf>
    <xf numFmtId="0" fontId="2" fillId="4" borderId="22" xfId="0" applyFont="1" applyFill="1" applyBorder="1"/>
    <xf numFmtId="0" fontId="3" fillId="4" borderId="3" xfId="0" applyFont="1" applyFill="1" applyBorder="1" applyAlignment="1">
      <alignment wrapText="1"/>
    </xf>
    <xf numFmtId="49" fontId="20" fillId="4" borderId="4" xfId="0" applyNumberFormat="1" applyFont="1" applyFill="1" applyBorder="1" applyAlignment="1">
      <alignment horizontal="right"/>
    </xf>
    <xf numFmtId="0" fontId="3" fillId="0" borderId="7" xfId="0" applyFont="1" applyBorder="1"/>
    <xf numFmtId="0" fontId="13" fillId="3" borderId="21" xfId="0" applyFont="1" applyFill="1" applyBorder="1" applyAlignment="1">
      <alignment wrapText="1"/>
    </xf>
    <xf numFmtId="49" fontId="20" fillId="4" borderId="5" xfId="0" applyNumberFormat="1" applyFont="1" applyFill="1" applyBorder="1" applyAlignment="1">
      <alignment horizontal="right"/>
    </xf>
    <xf numFmtId="49" fontId="20" fillId="4" borderId="10" xfId="0" applyNumberFormat="1" applyFont="1" applyFill="1" applyBorder="1" applyAlignment="1">
      <alignment horizontal="right"/>
    </xf>
    <xf numFmtId="0" fontId="4" fillId="0" borderId="5" xfId="0" applyFont="1" applyBorder="1"/>
    <xf numFmtId="0" fontId="2" fillId="0" borderId="1" xfId="0" applyFont="1" applyBorder="1"/>
    <xf numFmtId="0" fontId="3" fillId="3" borderId="0" xfId="0" applyFont="1" applyFill="1"/>
    <xf numFmtId="0" fontId="2" fillId="0" borderId="25" xfId="0" applyFont="1" applyFill="1" applyBorder="1"/>
    <xf numFmtId="0" fontId="2" fillId="4" borderId="25" xfId="0" applyFont="1" applyFill="1" applyBorder="1"/>
    <xf numFmtId="0" fontId="19" fillId="4" borderId="1" xfId="0" applyFont="1" applyFill="1" applyBorder="1" applyAlignment="1">
      <alignment wrapText="1"/>
    </xf>
    <xf numFmtId="0" fontId="2" fillId="4" borderId="26" xfId="0" applyFont="1" applyFill="1" applyBorder="1"/>
    <xf numFmtId="49" fontId="5" fillId="0" borderId="0" xfId="0" applyNumberFormat="1" applyFont="1" applyAlignment="1">
      <alignment horizontal="left"/>
    </xf>
    <xf numFmtId="49" fontId="5" fillId="0" borderId="0" xfId="0" applyNumberFormat="1" applyFont="1" applyBorder="1" applyAlignment="1">
      <alignment horizontal="left"/>
    </xf>
    <xf numFmtId="0" fontId="4" fillId="0" borderId="2" xfId="0" applyFont="1" applyBorder="1"/>
    <xf numFmtId="0" fontId="2" fillId="4" borderId="27" xfId="0" applyFont="1" applyFill="1" applyBorder="1"/>
    <xf numFmtId="49" fontId="16" fillId="0" borderId="0" xfId="0" applyNumberFormat="1" applyFont="1" applyFill="1" applyAlignment="1">
      <alignment horizontal="justify" vertical="justify"/>
    </xf>
    <xf numFmtId="49" fontId="4" fillId="0" borderId="9" xfId="0" applyNumberFormat="1" applyFont="1" applyBorder="1"/>
    <xf numFmtId="0" fontId="4" fillId="0" borderId="11" xfId="0" applyFont="1" applyBorder="1"/>
    <xf numFmtId="0" fontId="3" fillId="0" borderId="11" xfId="0" applyFont="1" applyBorder="1"/>
    <xf numFmtId="49" fontId="4" fillId="0" borderId="5" xfId="0" applyNumberFormat="1" applyFont="1" applyBorder="1"/>
    <xf numFmtId="49" fontId="4" fillId="0" borderId="0" xfId="0" applyNumberFormat="1" applyFont="1" applyBorder="1"/>
    <xf numFmtId="49" fontId="2" fillId="0" borderId="10" xfId="0" applyNumberFormat="1" applyFont="1" applyBorder="1"/>
    <xf numFmtId="0" fontId="2" fillId="0" borderId="14" xfId="0" applyFont="1" applyBorder="1"/>
    <xf numFmtId="0" fontId="3" fillId="4" borderId="5" xfId="0" applyFont="1" applyFill="1" applyBorder="1"/>
    <xf numFmtId="49" fontId="4" fillId="4" borderId="0" xfId="0" applyNumberFormat="1" applyFont="1" applyFill="1" applyBorder="1"/>
    <xf numFmtId="0" fontId="4" fillId="4" borderId="0" xfId="0" applyFont="1" applyFill="1" applyBorder="1"/>
    <xf numFmtId="0" fontId="2" fillId="4" borderId="1" xfId="0" applyFont="1" applyFill="1" applyBorder="1"/>
    <xf numFmtId="49" fontId="4" fillId="4" borderId="5" xfId="0" applyNumberFormat="1" applyFont="1" applyFill="1" applyBorder="1"/>
    <xf numFmtId="2" fontId="4" fillId="4" borderId="0" xfId="0" applyNumberFormat="1" applyFont="1" applyFill="1" applyBorder="1"/>
    <xf numFmtId="0" fontId="3" fillId="0" borderId="13" xfId="0" applyFont="1" applyBorder="1"/>
    <xf numFmtId="49" fontId="5" fillId="0" borderId="0" xfId="0" applyNumberFormat="1" applyFont="1" applyFill="1"/>
    <xf numFmtId="0" fontId="30" fillId="3" borderId="24" xfId="0" applyFont="1" applyFill="1" applyBorder="1" applyAlignment="1">
      <alignment wrapText="1"/>
    </xf>
    <xf numFmtId="0" fontId="27" fillId="0" borderId="0" xfId="0" applyFont="1" applyFill="1" applyBorder="1" applyAlignment="1">
      <alignment horizontal="justify" vertical="justify" wrapText="1"/>
    </xf>
    <xf numFmtId="49" fontId="3" fillId="0" borderId="0" xfId="0" applyNumberFormat="1" applyFont="1" applyFill="1"/>
    <xf numFmtId="0" fontId="21" fillId="3" borderId="6" xfId="0" applyFont="1" applyFill="1" applyBorder="1" applyAlignment="1">
      <alignment vertical="justify" wrapText="1"/>
    </xf>
    <xf numFmtId="49" fontId="19" fillId="0" borderId="0" xfId="0" applyNumberFormat="1" applyFont="1"/>
    <xf numFmtId="0" fontId="19" fillId="0" borderId="0" xfId="0" applyFont="1" applyFill="1"/>
    <xf numFmtId="0" fontId="27" fillId="0" borderId="0" xfId="0" applyFont="1" applyFill="1" applyBorder="1" applyAlignment="1">
      <alignment horizontal="left" vertical="center"/>
    </xf>
    <xf numFmtId="0" fontId="12" fillId="0" borderId="0" xfId="0" applyFont="1" applyFill="1" applyBorder="1" applyAlignment="1">
      <alignment horizontal="left" vertical="center"/>
    </xf>
    <xf numFmtId="0" fontId="8" fillId="3" borderId="6" xfId="0" applyFont="1" applyFill="1" applyBorder="1"/>
    <xf numFmtId="0" fontId="8" fillId="4" borderId="6" xfId="0" applyFont="1" applyFill="1" applyBorder="1"/>
    <xf numFmtId="0" fontId="27" fillId="4" borderId="6" xfId="0" applyFont="1" applyFill="1" applyBorder="1"/>
    <xf numFmtId="0" fontId="27" fillId="3" borderId="6" xfId="0" applyFont="1" applyFill="1" applyBorder="1"/>
    <xf numFmtId="0" fontId="8" fillId="0" borderId="2" xfId="0" applyFont="1" applyBorder="1"/>
    <xf numFmtId="0" fontId="27" fillId="0" borderId="5" xfId="0" applyFont="1" applyFill="1" applyBorder="1" applyAlignment="1">
      <alignment vertical="center"/>
    </xf>
    <xf numFmtId="0" fontId="3" fillId="0" borderId="1" xfId="0" applyFont="1" applyBorder="1"/>
    <xf numFmtId="0" fontId="27" fillId="0" borderId="10" xfId="0" applyFont="1" applyFill="1" applyBorder="1" applyAlignment="1">
      <alignment vertical="center"/>
    </xf>
    <xf numFmtId="0" fontId="3" fillId="0" borderId="14" xfId="0" applyFont="1" applyBorder="1"/>
    <xf numFmtId="0" fontId="3" fillId="0" borderId="0" xfId="0" applyFont="1" applyFill="1" applyBorder="1" applyAlignment="1">
      <alignment textRotation="255"/>
    </xf>
    <xf numFmtId="49" fontId="3" fillId="0" borderId="5" xfId="0" applyNumberFormat="1" applyFont="1" applyFill="1" applyBorder="1"/>
    <xf numFmtId="0" fontId="3" fillId="0" borderId="1" xfId="0" applyFont="1" applyFill="1" applyBorder="1"/>
    <xf numFmtId="0" fontId="3" fillId="0" borderId="5" xfId="0" applyFont="1" applyFill="1" applyBorder="1" applyAlignment="1">
      <alignment vertical="center"/>
    </xf>
    <xf numFmtId="0" fontId="3" fillId="0" borderId="10" xfId="0" applyFont="1" applyFill="1" applyBorder="1" applyAlignment="1">
      <alignment vertical="center"/>
    </xf>
    <xf numFmtId="0" fontId="3" fillId="4" borderId="27" xfId="0" applyFont="1" applyFill="1" applyBorder="1"/>
    <xf numFmtId="0" fontId="3" fillId="3" borderId="22" xfId="0" applyFont="1" applyFill="1" applyBorder="1"/>
    <xf numFmtId="0" fontId="3" fillId="4" borderId="22" xfId="0" applyFont="1" applyFill="1" applyBorder="1"/>
    <xf numFmtId="0" fontId="3" fillId="3" borderId="23" xfId="0" applyFont="1" applyFill="1" applyBorder="1"/>
    <xf numFmtId="0" fontId="23" fillId="4" borderId="5" xfId="0" applyFont="1" applyFill="1" applyBorder="1" applyAlignment="1">
      <alignment vertical="center"/>
    </xf>
    <xf numFmtId="0" fontId="23" fillId="4" borderId="0" xfId="0" applyFont="1" applyFill="1" applyBorder="1" applyAlignment="1">
      <alignment vertical="center"/>
    </xf>
    <xf numFmtId="0" fontId="3" fillId="4" borderId="15" xfId="0" applyFont="1" applyFill="1" applyBorder="1"/>
    <xf numFmtId="0" fontId="23" fillId="0" borderId="5" xfId="0" applyFont="1" applyFill="1" applyBorder="1" applyAlignment="1">
      <alignment vertical="center"/>
    </xf>
    <xf numFmtId="0" fontId="23" fillId="0" borderId="0" xfId="0" applyFont="1" applyFill="1" applyBorder="1" applyAlignment="1">
      <alignment vertical="center"/>
    </xf>
    <xf numFmtId="0" fontId="3" fillId="0" borderId="15" xfId="0" applyFont="1" applyFill="1" applyBorder="1"/>
    <xf numFmtId="0" fontId="23" fillId="0" borderId="10" xfId="0" applyFont="1" applyFill="1" applyBorder="1" applyAlignment="1">
      <alignment vertical="center"/>
    </xf>
    <xf numFmtId="0" fontId="23" fillId="0" borderId="13" xfId="0" applyFont="1" applyFill="1" applyBorder="1" applyAlignment="1">
      <alignment vertical="center"/>
    </xf>
    <xf numFmtId="0" fontId="3" fillId="0" borderId="16" xfId="0" applyFont="1" applyFill="1" applyBorder="1"/>
    <xf numFmtId="0" fontId="3" fillId="4" borderId="19" xfId="0" applyFont="1" applyFill="1" applyBorder="1"/>
    <xf numFmtId="0" fontId="3" fillId="4" borderId="10" xfId="0" applyFont="1" applyFill="1" applyBorder="1"/>
    <xf numFmtId="0" fontId="3" fillId="4" borderId="13" xfId="0" applyFont="1" applyFill="1" applyBorder="1"/>
    <xf numFmtId="0" fontId="3" fillId="4" borderId="16" xfId="0" applyFont="1" applyFill="1" applyBorder="1"/>
    <xf numFmtId="0" fontId="3" fillId="4" borderId="21" xfId="0" applyFont="1" applyFill="1" applyBorder="1"/>
    <xf numFmtId="0" fontId="3" fillId="0" borderId="22" xfId="0" applyFont="1" applyFill="1" applyBorder="1"/>
    <xf numFmtId="0" fontId="3" fillId="4" borderId="23" xfId="0" applyFont="1" applyFill="1" applyBorder="1"/>
    <xf numFmtId="0" fontId="32" fillId="5" borderId="3" xfId="0" applyFont="1" applyFill="1" applyBorder="1"/>
    <xf numFmtId="0" fontId="16" fillId="5" borderId="6" xfId="0" applyFont="1" applyFill="1" applyBorder="1"/>
    <xf numFmtId="0" fontId="16" fillId="3" borderId="6" xfId="0" applyFont="1" applyFill="1" applyBorder="1"/>
    <xf numFmtId="0" fontId="16" fillId="4" borderId="6" xfId="0" applyFont="1" applyFill="1" applyBorder="1"/>
    <xf numFmtId="0" fontId="6" fillId="0" borderId="0" xfId="0" applyFont="1"/>
    <xf numFmtId="0" fontId="4" fillId="0" borderId="0" xfId="0" applyFont="1" applyAlignment="1">
      <alignment horizontal="left" wrapText="1"/>
    </xf>
    <xf numFmtId="0" fontId="4" fillId="0" borderId="1" xfId="0" applyFont="1" applyBorder="1" applyAlignment="1">
      <alignment horizontal="left" wrapText="1"/>
    </xf>
    <xf numFmtId="0" fontId="4" fillId="0" borderId="0" xfId="0" applyFont="1" applyFill="1" applyBorder="1" applyAlignment="1">
      <alignment horizontal="left" vertical="center"/>
    </xf>
    <xf numFmtId="0" fontId="23" fillId="0" borderId="0" xfId="0" applyFont="1" applyAlignment="1">
      <alignment horizontal="justify" vertical="justify" wrapText="1"/>
    </xf>
    <xf numFmtId="0" fontId="2" fillId="4" borderId="0" xfId="0" applyFont="1" applyFill="1" applyAlignment="1">
      <alignment horizontal="center"/>
    </xf>
    <xf numFmtId="0" fontId="2" fillId="3" borderId="0" xfId="0" applyFont="1" applyFill="1" applyAlignment="1">
      <alignment horizontal="center"/>
    </xf>
    <xf numFmtId="0" fontId="3" fillId="4" borderId="0" xfId="0" applyFont="1" applyFill="1" applyAlignment="1">
      <alignment horizontal="center" wrapText="1"/>
    </xf>
    <xf numFmtId="0" fontId="26" fillId="4" borderId="0" xfId="0" applyFont="1" applyFill="1" applyAlignment="1">
      <alignment horizontal="justify" vertical="justify" wrapText="1"/>
    </xf>
    <xf numFmtId="0" fontId="3" fillId="0" borderId="0" xfId="0" applyFont="1" applyFill="1" applyAlignment="1">
      <alignment horizontal="left" vertical="justify" wrapText="1"/>
    </xf>
    <xf numFmtId="0" fontId="3" fillId="0" borderId="1" xfId="0" applyFont="1" applyFill="1" applyBorder="1" applyAlignment="1">
      <alignment horizontal="left" vertical="justify" wrapText="1"/>
    </xf>
    <xf numFmtId="0" fontId="19" fillId="4" borderId="0" xfId="0" applyFont="1" applyFill="1" applyAlignment="1">
      <alignment horizontal="justify" vertical="justify" wrapText="1"/>
    </xf>
    <xf numFmtId="0" fontId="4" fillId="4" borderId="0" xfId="0" applyFont="1" applyFill="1" applyBorder="1" applyAlignment="1">
      <alignment horizontal="center" wrapText="1"/>
    </xf>
    <xf numFmtId="0" fontId="2" fillId="3" borderId="17" xfId="0" applyFont="1" applyFill="1" applyBorder="1" applyAlignment="1">
      <alignment horizontal="left"/>
    </xf>
    <xf numFmtId="0" fontId="2" fillId="3" borderId="8" xfId="0" applyFont="1" applyFill="1" applyBorder="1" applyAlignment="1">
      <alignment horizontal="left"/>
    </xf>
    <xf numFmtId="0" fontId="2" fillId="4" borderId="0" xfId="0" applyFont="1" applyFill="1" applyBorder="1" applyAlignment="1">
      <alignment horizontal="center"/>
    </xf>
    <xf numFmtId="0" fontId="2" fillId="4" borderId="1" xfId="0" applyFont="1" applyFill="1" applyBorder="1" applyAlignment="1">
      <alignment horizontal="center"/>
    </xf>
    <xf numFmtId="0" fontId="2" fillId="3" borderId="17" xfId="0" applyFont="1" applyFill="1" applyBorder="1" applyAlignment="1">
      <alignment horizontal="center"/>
    </xf>
    <xf numFmtId="0" fontId="2" fillId="3" borderId="8" xfId="0" applyFont="1" applyFill="1" applyBorder="1" applyAlignment="1">
      <alignment horizontal="center"/>
    </xf>
    <xf numFmtId="0" fontId="2" fillId="3" borderId="0" xfId="0" applyFont="1" applyFill="1" applyAlignment="1">
      <alignment horizontal="left"/>
    </xf>
    <xf numFmtId="0" fontId="8" fillId="0" borderId="0" xfId="0" applyFont="1" applyAlignment="1">
      <alignment horizontal="left" vertical="justify" wrapText="1"/>
    </xf>
    <xf numFmtId="0" fontId="8" fillId="0" borderId="0" xfId="0" applyFont="1" applyBorder="1" applyAlignment="1">
      <alignment horizontal="left" vertical="justify" wrapText="1"/>
    </xf>
    <xf numFmtId="0" fontId="2" fillId="5" borderId="7" xfId="0" applyFont="1" applyFill="1" applyBorder="1" applyAlignment="1">
      <alignment horizontal="center"/>
    </xf>
    <xf numFmtId="0" fontId="2" fillId="5" borderId="17" xfId="0" applyFont="1" applyFill="1" applyBorder="1" applyAlignment="1">
      <alignment horizontal="center"/>
    </xf>
    <xf numFmtId="0" fontId="2" fillId="5" borderId="8" xfId="0" applyFont="1" applyFill="1" applyBorder="1" applyAlignment="1">
      <alignment horizontal="center"/>
    </xf>
    <xf numFmtId="0" fontId="3" fillId="5" borderId="0" xfId="0" applyFont="1" applyFill="1" applyAlignment="1">
      <alignment horizontal="justify" vertical="justify" wrapText="1"/>
    </xf>
    <xf numFmtId="0" fontId="2" fillId="4" borderId="0" xfId="0" applyFont="1" applyFill="1" applyAlignment="1">
      <alignment horizontal="left"/>
    </xf>
    <xf numFmtId="9" fontId="17" fillId="3" borderId="7" xfId="1" applyFont="1" applyFill="1" applyBorder="1" applyAlignment="1">
      <alignment horizontal="center"/>
    </xf>
    <xf numFmtId="9" fontId="17" fillId="3" borderId="8" xfId="1" applyFont="1" applyFill="1" applyBorder="1" applyAlignment="1">
      <alignment horizontal="center"/>
    </xf>
    <xf numFmtId="0" fontId="5" fillId="0" borderId="0" xfId="0" applyFont="1" applyAlignment="1">
      <alignment vertical="center" wrapText="1"/>
    </xf>
    <xf numFmtId="0" fontId="5" fillId="0" borderId="1" xfId="0" applyFont="1" applyBorder="1" applyAlignment="1">
      <alignment vertical="center" wrapText="1"/>
    </xf>
    <xf numFmtId="0" fontId="8" fillId="0" borderId="9" xfId="0" applyFont="1" applyBorder="1" applyAlignment="1">
      <alignment horizontal="justify" vertical="justify"/>
    </xf>
    <xf numFmtId="0" fontId="8" fillId="0" borderId="11" xfId="0" applyFont="1" applyBorder="1" applyAlignment="1">
      <alignment horizontal="justify" vertical="justify"/>
    </xf>
    <xf numFmtId="0" fontId="8" fillId="0" borderId="5" xfId="0" applyFont="1" applyBorder="1" applyAlignment="1">
      <alignment horizontal="justify" vertical="justify"/>
    </xf>
    <xf numFmtId="0" fontId="8" fillId="0" borderId="0" xfId="0" applyFont="1" applyBorder="1" applyAlignment="1">
      <alignment horizontal="justify" vertical="justify"/>
    </xf>
    <xf numFmtId="0" fontId="4" fillId="0" borderId="7" xfId="0" applyFont="1" applyBorder="1" applyAlignment="1">
      <alignment horizontal="left"/>
    </xf>
    <xf numFmtId="0" fontId="4" fillId="0" borderId="17" xfId="0" applyFont="1" applyBorder="1" applyAlignment="1">
      <alignment horizontal="left"/>
    </xf>
    <xf numFmtId="0" fontId="4" fillId="0" borderId="5" xfId="0" applyFont="1" applyBorder="1" applyAlignment="1">
      <alignment horizontal="left"/>
    </xf>
    <xf numFmtId="0" fontId="4" fillId="0" borderId="0" xfId="0" applyFont="1" applyBorder="1" applyAlignment="1">
      <alignment horizontal="left"/>
    </xf>
    <xf numFmtId="0" fontId="2" fillId="4" borderId="17" xfId="0" applyFont="1" applyFill="1" applyBorder="1" applyAlignment="1">
      <alignment horizontal="center"/>
    </xf>
    <xf numFmtId="0" fontId="2" fillId="4" borderId="8" xfId="0" applyFont="1" applyFill="1" applyBorder="1" applyAlignment="1">
      <alignment horizontal="center"/>
    </xf>
    <xf numFmtId="0" fontId="8" fillId="0" borderId="5" xfId="0" applyFont="1" applyBorder="1" applyAlignment="1">
      <alignment horizontal="justify" vertical="justify" wrapText="1"/>
    </xf>
    <xf numFmtId="0" fontId="8" fillId="0" borderId="0" xfId="0" applyFont="1" applyBorder="1" applyAlignment="1">
      <alignment horizontal="justify" vertical="justify" wrapText="1"/>
    </xf>
    <xf numFmtId="0" fontId="8" fillId="0" borderId="1" xfId="0" applyFont="1" applyBorder="1" applyAlignment="1">
      <alignment horizontal="justify" vertical="justify" wrapText="1"/>
    </xf>
    <xf numFmtId="0" fontId="8" fillId="0" borderId="10" xfId="0" applyFont="1" applyBorder="1" applyAlignment="1">
      <alignment horizontal="justify" vertical="justify" wrapText="1"/>
    </xf>
    <xf numFmtId="0" fontId="8" fillId="0" borderId="13" xfId="0" applyFont="1" applyBorder="1" applyAlignment="1">
      <alignment horizontal="justify" vertical="justify" wrapText="1"/>
    </xf>
    <xf numFmtId="0" fontId="8" fillId="0" borderId="14" xfId="0" applyFont="1" applyBorder="1" applyAlignment="1">
      <alignment horizontal="justify" vertical="justify" wrapText="1"/>
    </xf>
    <xf numFmtId="0" fontId="8" fillId="0" borderId="5" xfId="0" applyFont="1" applyBorder="1" applyAlignment="1">
      <alignment horizontal="left" vertical="justify" wrapText="1"/>
    </xf>
    <xf numFmtId="0" fontId="21" fillId="5" borderId="10" xfId="0" applyFont="1" applyFill="1" applyBorder="1" applyAlignment="1">
      <alignment horizontal="center" vertical="justify" wrapText="1"/>
    </xf>
    <xf numFmtId="0" fontId="21" fillId="5" borderId="13" xfId="0" applyFont="1" applyFill="1" applyBorder="1" applyAlignment="1">
      <alignment horizontal="center" vertical="justify" wrapText="1"/>
    </xf>
    <xf numFmtId="0" fontId="21" fillId="5" borderId="14" xfId="0" applyFont="1" applyFill="1" applyBorder="1" applyAlignment="1">
      <alignment horizontal="center" vertical="justify" wrapText="1"/>
    </xf>
    <xf numFmtId="0" fontId="5" fillId="0" borderId="0" xfId="0" applyFont="1" applyAlignment="1">
      <alignment horizontal="justify" vertical="justify" wrapText="1"/>
    </xf>
    <xf numFmtId="0" fontId="8" fillId="0" borderId="9" xfId="0" applyFont="1" applyBorder="1" applyAlignment="1">
      <alignment horizontal="justify" vertical="justify" wrapText="1"/>
    </xf>
    <xf numFmtId="0" fontId="8" fillId="0" borderId="11" xfId="0" applyFont="1" applyBorder="1" applyAlignment="1">
      <alignment horizontal="justify" vertical="justify" wrapText="1"/>
    </xf>
    <xf numFmtId="0" fontId="8" fillId="0" borderId="12" xfId="0" applyFont="1" applyBorder="1" applyAlignment="1">
      <alignment horizontal="justify" vertical="justify" wrapText="1"/>
    </xf>
    <xf numFmtId="0" fontId="10" fillId="4" borderId="0" xfId="0" applyFont="1" applyFill="1" applyBorder="1" applyAlignment="1">
      <alignment horizontal="left" vertical="center"/>
    </xf>
    <xf numFmtId="0" fontId="10" fillId="2" borderId="0" xfId="0" applyFont="1" applyFill="1" applyBorder="1" applyAlignment="1">
      <alignment horizontal="left" vertical="center"/>
    </xf>
    <xf numFmtId="0" fontId="10" fillId="4" borderId="13" xfId="0" applyFont="1" applyFill="1" applyBorder="1" applyAlignment="1">
      <alignment horizontal="left" vertical="center"/>
    </xf>
    <xf numFmtId="0" fontId="17" fillId="0" borderId="17" xfId="0" applyFont="1" applyFill="1" applyBorder="1" applyAlignment="1">
      <alignment horizontal="center" vertical="center" wrapText="1"/>
    </xf>
    <xf numFmtId="0" fontId="11" fillId="0" borderId="5" xfId="0" applyFont="1" applyBorder="1" applyAlignment="1">
      <alignment horizontal="justify" vertical="justify" wrapText="1"/>
    </xf>
    <xf numFmtId="0" fontId="11" fillId="0" borderId="0" xfId="0" applyFont="1" applyBorder="1" applyAlignment="1">
      <alignment horizontal="justify" vertical="justify" wrapText="1"/>
    </xf>
    <xf numFmtId="0" fontId="11" fillId="0" borderId="1" xfId="0" applyFont="1" applyBorder="1" applyAlignment="1">
      <alignment horizontal="justify" vertical="justify" wrapText="1"/>
    </xf>
    <xf numFmtId="0" fontId="11" fillId="0" borderId="10" xfId="0" applyFont="1" applyBorder="1" applyAlignment="1">
      <alignment horizontal="justify" vertical="justify" wrapText="1"/>
    </xf>
    <xf numFmtId="0" fontId="11" fillId="0" borderId="13" xfId="0" applyFont="1" applyBorder="1" applyAlignment="1">
      <alignment horizontal="justify" vertical="justify" wrapText="1"/>
    </xf>
    <xf numFmtId="0" fontId="11" fillId="0" borderId="14" xfId="0" applyFont="1" applyBorder="1" applyAlignment="1">
      <alignment horizontal="justify" vertical="justify" wrapText="1"/>
    </xf>
    <xf numFmtId="0" fontId="5" fillId="0" borderId="0" xfId="0" applyFont="1" applyAlignment="1">
      <alignment horizontal="left" wrapText="1"/>
    </xf>
    <xf numFmtId="0" fontId="5" fillId="0" borderId="1" xfId="0" applyFont="1" applyBorder="1" applyAlignment="1">
      <alignment horizontal="left" wrapText="1"/>
    </xf>
    <xf numFmtId="0" fontId="4" fillId="0" borderId="0" xfId="0" applyFont="1" applyBorder="1" applyAlignment="1">
      <alignment horizontal="justify" vertical="justify" wrapText="1"/>
    </xf>
    <xf numFmtId="14" fontId="16" fillId="5" borderId="7" xfId="0" applyNumberFormat="1" applyFont="1" applyFill="1" applyBorder="1" applyAlignment="1">
      <alignment horizontal="center"/>
    </xf>
    <xf numFmtId="14" fontId="16" fillId="5" borderId="8" xfId="0" applyNumberFormat="1" applyFont="1" applyFill="1" applyBorder="1" applyAlignment="1">
      <alignment horizontal="center"/>
    </xf>
    <xf numFmtId="0" fontId="8" fillId="2" borderId="0" xfId="0" applyFont="1" applyFill="1" applyBorder="1" applyAlignment="1">
      <alignment horizontal="justify" vertical="justify"/>
    </xf>
    <xf numFmtId="0" fontId="11" fillId="0" borderId="9" xfId="0" applyFont="1" applyBorder="1" applyAlignment="1">
      <alignment horizontal="justify" vertical="justify" wrapText="1"/>
    </xf>
    <xf numFmtId="0" fontId="11" fillId="0" borderId="11" xfId="0" applyFont="1" applyBorder="1" applyAlignment="1">
      <alignment horizontal="justify" vertical="justify" wrapText="1"/>
    </xf>
    <xf numFmtId="0" fontId="11" fillId="0" borderId="12" xfId="0" applyFont="1" applyBorder="1" applyAlignment="1">
      <alignment horizontal="justify" vertical="justify" wrapText="1"/>
    </xf>
    <xf numFmtId="164" fontId="2" fillId="5" borderId="7" xfId="2" applyFont="1" applyFill="1" applyBorder="1" applyAlignment="1">
      <alignment horizontal="center"/>
    </xf>
    <xf numFmtId="164" fontId="2" fillId="5" borderId="8" xfId="2" applyFont="1" applyFill="1" applyBorder="1" applyAlignment="1">
      <alignment horizontal="center"/>
    </xf>
    <xf numFmtId="0" fontId="27" fillId="4" borderId="5" xfId="0" applyFont="1" applyFill="1" applyBorder="1" applyAlignment="1">
      <alignment horizontal="justify" vertical="justify" wrapText="1"/>
    </xf>
    <xf numFmtId="0" fontId="27" fillId="4" borderId="0" xfId="0" applyFont="1" applyFill="1" applyBorder="1" applyAlignment="1">
      <alignment horizontal="justify" vertical="justify" wrapText="1"/>
    </xf>
    <xf numFmtId="0" fontId="27" fillId="4" borderId="18" xfId="0" applyFont="1" applyFill="1" applyBorder="1" applyAlignment="1">
      <alignment horizontal="justify" vertical="justify" wrapText="1"/>
    </xf>
    <xf numFmtId="0" fontId="27" fillId="0" borderId="5" xfId="0" applyFont="1" applyFill="1" applyBorder="1" applyAlignment="1">
      <alignment horizontal="justify" vertical="justify" wrapText="1"/>
    </xf>
    <xf numFmtId="0" fontId="27" fillId="0" borderId="0" xfId="0" applyFont="1" applyFill="1" applyBorder="1" applyAlignment="1">
      <alignment horizontal="justify" vertical="justify" wrapText="1"/>
    </xf>
    <xf numFmtId="0" fontId="27" fillId="0" borderId="18" xfId="0" applyFont="1" applyFill="1" applyBorder="1" applyAlignment="1">
      <alignment horizontal="justify" vertical="justify" wrapText="1"/>
    </xf>
    <xf numFmtId="0" fontId="27" fillId="0" borderId="10" xfId="0" applyFont="1" applyFill="1" applyBorder="1" applyAlignment="1">
      <alignment horizontal="justify" vertical="justify" wrapText="1"/>
    </xf>
    <xf numFmtId="0" fontId="27" fillId="0" borderId="13" xfId="0" applyFont="1" applyFill="1" applyBorder="1" applyAlignment="1">
      <alignment horizontal="justify" vertical="justify" wrapText="1"/>
    </xf>
    <xf numFmtId="0" fontId="27" fillId="0" borderId="20" xfId="0" applyFont="1" applyFill="1" applyBorder="1" applyAlignment="1">
      <alignment horizontal="justify" vertical="justify" wrapText="1"/>
    </xf>
    <xf numFmtId="0" fontId="29" fillId="0" borderId="7" xfId="0" applyFont="1" applyFill="1" applyBorder="1" applyAlignment="1">
      <alignment horizontal="center" vertical="center"/>
    </xf>
    <xf numFmtId="0" fontId="29" fillId="0" borderId="17" xfId="0" applyFont="1" applyFill="1" applyBorder="1" applyAlignment="1">
      <alignment horizontal="center" vertical="center"/>
    </xf>
    <xf numFmtId="0" fontId="5" fillId="0" borderId="7"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4" fillId="0" borderId="7" xfId="0" applyFont="1" applyBorder="1" applyAlignment="1">
      <alignment horizontal="center"/>
    </xf>
    <xf numFmtId="0" fontId="4" fillId="0" borderId="17" xfId="0" applyFont="1" applyBorder="1" applyAlignment="1">
      <alignment horizontal="center"/>
    </xf>
    <xf numFmtId="0" fontId="8" fillId="4" borderId="5" xfId="0" applyFont="1" applyFill="1" applyBorder="1" applyAlignment="1">
      <alignment horizontal="justify" vertical="justify" wrapText="1"/>
    </xf>
    <xf numFmtId="0" fontId="8" fillId="4" borderId="0" xfId="0" applyFont="1" applyFill="1" applyBorder="1" applyAlignment="1">
      <alignment horizontal="justify" vertical="justify" wrapText="1"/>
    </xf>
    <xf numFmtId="0" fontId="8" fillId="4" borderId="10" xfId="0" applyFont="1" applyFill="1" applyBorder="1" applyAlignment="1">
      <alignment horizontal="justify" vertical="justify" wrapText="1"/>
    </xf>
    <xf numFmtId="0" fontId="8" fillId="4" borderId="13" xfId="0" applyFont="1" applyFill="1" applyBorder="1" applyAlignment="1">
      <alignment horizontal="justify" vertical="justify" wrapText="1"/>
    </xf>
    <xf numFmtId="0" fontId="2" fillId="4" borderId="0" xfId="0" applyFont="1" applyFill="1" applyBorder="1" applyAlignment="1">
      <alignment horizontal="justify" vertical="justify"/>
    </xf>
    <xf numFmtId="0" fontId="14" fillId="3" borderId="0" xfId="0" applyFont="1" applyFill="1" applyBorder="1" applyAlignment="1">
      <alignment horizontal="justify" vertical="justify"/>
    </xf>
    <xf numFmtId="0" fontId="2" fillId="0" borderId="0" xfId="0" applyFont="1" applyBorder="1" applyAlignment="1">
      <alignment horizontal="justify" vertical="justify"/>
    </xf>
    <xf numFmtId="0" fontId="2" fillId="4" borderId="5" xfId="0" applyFont="1" applyFill="1" applyBorder="1" applyAlignment="1">
      <alignment horizontal="justify" vertical="justify"/>
    </xf>
    <xf numFmtId="0" fontId="2" fillId="4" borderId="1" xfId="0" applyFont="1" applyFill="1" applyBorder="1" applyAlignment="1">
      <alignment horizontal="justify" vertical="justify"/>
    </xf>
    <xf numFmtId="0" fontId="2" fillId="4" borderId="13" xfId="0" applyFont="1" applyFill="1" applyBorder="1" applyAlignment="1">
      <alignment horizontal="justify" vertical="justify"/>
    </xf>
    <xf numFmtId="49" fontId="4" fillId="3" borderId="5" xfId="0" applyNumberFormat="1" applyFont="1" applyFill="1" applyBorder="1" applyAlignment="1">
      <alignment horizontal="left" wrapText="1"/>
    </xf>
    <xf numFmtId="49" fontId="4" fillId="3" borderId="0"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2" fillId="0" borderId="5" xfId="0" applyFont="1" applyBorder="1" applyAlignment="1">
      <alignment horizontal="justify" vertical="justify"/>
    </xf>
    <xf numFmtId="0" fontId="2" fillId="0" borderId="1" xfId="0" applyFont="1" applyBorder="1" applyAlignment="1">
      <alignment horizontal="justify" vertical="justify"/>
    </xf>
    <xf numFmtId="0" fontId="2" fillId="4" borderId="7" xfId="0" applyFont="1" applyFill="1" applyBorder="1" applyAlignment="1">
      <alignment horizontal="center"/>
    </xf>
    <xf numFmtId="49" fontId="31" fillId="0" borderId="10" xfId="0" applyNumberFormat="1" applyFont="1" applyBorder="1" applyAlignment="1">
      <alignment horizontal="left"/>
    </xf>
    <xf numFmtId="49" fontId="31" fillId="0" borderId="13" xfId="0" applyNumberFormat="1" applyFont="1" applyBorder="1" applyAlignment="1">
      <alignment horizontal="left"/>
    </xf>
    <xf numFmtId="49" fontId="31" fillId="0" borderId="14" xfId="0" applyNumberFormat="1" applyFont="1" applyBorder="1" applyAlignment="1">
      <alignment horizontal="left"/>
    </xf>
    <xf numFmtId="49" fontId="4" fillId="4" borderId="13" xfId="0" applyNumberFormat="1" applyFont="1" applyFill="1" applyBorder="1" applyAlignment="1">
      <alignment horizontal="center"/>
    </xf>
    <xf numFmtId="49" fontId="4" fillId="0" borderId="0" xfId="0" applyNumberFormat="1" applyFont="1" applyFill="1" applyBorder="1" applyAlignment="1">
      <alignment horizontal="left" vertical="center" wrapText="1"/>
    </xf>
    <xf numFmtId="49" fontId="4" fillId="0" borderId="0" xfId="0" applyNumberFormat="1" applyFont="1" applyAlignment="1">
      <alignment horizontal="justify" vertical="justify" wrapText="1"/>
    </xf>
    <xf numFmtId="0" fontId="29" fillId="0" borderId="8"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8" xfId="0" applyFont="1" applyFill="1" applyBorder="1" applyAlignment="1">
      <alignment horizontal="center" vertical="center"/>
    </xf>
    <xf numFmtId="0" fontId="4" fillId="2" borderId="7" xfId="0" applyFont="1" applyFill="1" applyBorder="1" applyAlignment="1">
      <alignment horizontal="left"/>
    </xf>
    <xf numFmtId="0" fontId="4" fillId="2" borderId="8" xfId="0" applyFont="1" applyFill="1" applyBorder="1" applyAlignment="1">
      <alignment horizontal="left"/>
    </xf>
    <xf numFmtId="0" fontId="4" fillId="0" borderId="9"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2" fillId="4" borderId="10" xfId="0" applyFont="1" applyFill="1" applyBorder="1" applyAlignment="1">
      <alignment horizontal="justify" vertical="justify"/>
    </xf>
    <xf numFmtId="0" fontId="2" fillId="4" borderId="14" xfId="0" applyFont="1" applyFill="1" applyBorder="1" applyAlignment="1">
      <alignment horizontal="justify" vertical="justify"/>
    </xf>
    <xf numFmtId="49" fontId="4" fillId="0" borderId="7" xfId="0" applyNumberFormat="1" applyFont="1" applyBorder="1" applyAlignment="1">
      <alignment horizontal="center"/>
    </xf>
    <xf numFmtId="49" fontId="4" fillId="0" borderId="17" xfId="0" applyNumberFormat="1" applyFont="1" applyBorder="1" applyAlignment="1">
      <alignment horizontal="center"/>
    </xf>
    <xf numFmtId="49" fontId="4" fillId="0" borderId="8" xfId="0" applyNumberFormat="1" applyFont="1" applyBorder="1" applyAlignment="1">
      <alignment horizontal="center"/>
    </xf>
    <xf numFmtId="49" fontId="5" fillId="0" borderId="9" xfId="0" applyNumberFormat="1" applyFont="1" applyBorder="1" applyAlignment="1">
      <alignment horizontal="left" vertical="center" wrapText="1"/>
    </xf>
    <xf numFmtId="49" fontId="5" fillId="0" borderId="11" xfId="0" applyNumberFormat="1" applyFont="1" applyBorder="1" applyAlignment="1">
      <alignment horizontal="left" vertical="center" wrapText="1"/>
    </xf>
    <xf numFmtId="49" fontId="5" fillId="0" borderId="10" xfId="0" applyNumberFormat="1" applyFont="1" applyBorder="1" applyAlignment="1">
      <alignment horizontal="left"/>
    </xf>
    <xf numFmtId="49" fontId="5" fillId="0" borderId="13" xfId="0" applyNumberFormat="1" applyFont="1" applyBorder="1" applyAlignment="1">
      <alignment horizontal="left"/>
    </xf>
    <xf numFmtId="49" fontId="16" fillId="3" borderId="0" xfId="0" applyNumberFormat="1" applyFont="1" applyFill="1" applyAlignment="1">
      <alignment horizontal="justify" vertical="justify"/>
    </xf>
  </cellXfs>
  <cellStyles count="3">
    <cellStyle name="Millares" xfId="2" builtinId="3"/>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9314-639E-476A-9EF4-056DF076A35E}">
  <dimension ref="B1:AG302"/>
  <sheetViews>
    <sheetView tabSelected="1" view="pageBreakPreview" zoomScaleNormal="100" zoomScaleSheetLayoutView="100" workbookViewId="0">
      <selection activeCell="G25" sqref="G25"/>
    </sheetView>
  </sheetViews>
  <sheetFormatPr baseColWidth="10" defaultColWidth="11.5703125" defaultRowHeight="14.25" x14ac:dyDescent="0.2"/>
  <cols>
    <col min="1" max="1" width="11.5703125" style="2"/>
    <col min="2" max="2" width="3.5703125" style="22" customWidth="1"/>
    <col min="3" max="3" width="5.5703125" style="97" customWidth="1"/>
    <col min="4" max="4" width="11.5703125" style="1" customWidth="1"/>
    <col min="5" max="5" width="14.28515625" style="1" customWidth="1"/>
    <col min="6" max="6" width="11" style="1" customWidth="1"/>
    <col min="7" max="7" width="14.5703125" style="1" customWidth="1"/>
    <col min="8" max="8" width="10.42578125" style="1" customWidth="1"/>
    <col min="9" max="9" width="10.28515625" style="1" customWidth="1"/>
    <col min="10" max="10" width="11.42578125" style="1" customWidth="1"/>
    <col min="11" max="11" width="11.5703125" style="28"/>
    <col min="12" max="16" width="11.5703125" style="1"/>
    <col min="17" max="17" width="14.42578125" style="1" customWidth="1"/>
    <col min="18" max="18" width="11.5703125" style="1"/>
    <col min="19" max="25" width="11.5703125" style="2"/>
    <col min="26" max="26" width="13.5703125" style="2" customWidth="1"/>
    <col min="27" max="16384" width="11.5703125" style="2"/>
  </cols>
  <sheetData>
    <row r="1" spans="2:33" ht="15.75" x14ac:dyDescent="0.25">
      <c r="C1" s="208" t="s">
        <v>204</v>
      </c>
      <c r="D1" s="208"/>
      <c r="E1" s="210"/>
      <c r="F1" s="210"/>
      <c r="G1" s="210"/>
      <c r="H1" s="210"/>
      <c r="I1" s="210"/>
      <c r="J1" s="210"/>
    </row>
    <row r="2" spans="2:33" ht="15.75" x14ac:dyDescent="0.25">
      <c r="C2" s="208" t="s">
        <v>206</v>
      </c>
      <c r="D2" s="208"/>
      <c r="E2" s="211"/>
      <c r="F2" s="211"/>
      <c r="G2" s="211"/>
      <c r="H2" s="211"/>
      <c r="I2" s="211"/>
      <c r="J2" s="211"/>
      <c r="AD2" s="2" t="s">
        <v>12</v>
      </c>
      <c r="AF2" s="2" t="s">
        <v>12</v>
      </c>
      <c r="AG2" s="2" t="s">
        <v>163</v>
      </c>
    </row>
    <row r="3" spans="2:33" ht="15.75" x14ac:dyDescent="0.25">
      <c r="C3" s="91" t="s">
        <v>207</v>
      </c>
      <c r="E3" s="210"/>
      <c r="F3" s="210"/>
      <c r="G3" s="210"/>
      <c r="H3" s="210"/>
      <c r="I3" s="210"/>
      <c r="J3" s="210"/>
      <c r="X3" s="2" t="s">
        <v>150</v>
      </c>
      <c r="Z3" s="2" t="s">
        <v>166</v>
      </c>
      <c r="AA3" s="2" t="s">
        <v>132</v>
      </c>
      <c r="AD3" s="2" t="s">
        <v>13</v>
      </c>
      <c r="AF3" s="2" t="s">
        <v>13</v>
      </c>
      <c r="AG3" s="2" t="s">
        <v>164</v>
      </c>
    </row>
    <row r="4" spans="2:33" ht="15.75" x14ac:dyDescent="0.25">
      <c r="C4" s="92" t="s">
        <v>208</v>
      </c>
      <c r="X4" s="2" t="s">
        <v>151</v>
      </c>
      <c r="Z4" s="2" t="s">
        <v>167</v>
      </c>
      <c r="AA4" s="2" t="s">
        <v>175</v>
      </c>
      <c r="AD4" s="2" t="s">
        <v>28</v>
      </c>
      <c r="AF4" s="2" t="s">
        <v>88</v>
      </c>
    </row>
    <row r="5" spans="2:33" ht="15.75" x14ac:dyDescent="0.25">
      <c r="C5" s="205" t="s">
        <v>294</v>
      </c>
      <c r="D5" s="2"/>
    </row>
    <row r="6" spans="2:33" ht="30" x14ac:dyDescent="0.2">
      <c r="B6" s="25" t="s">
        <v>205</v>
      </c>
      <c r="C6" s="93" t="s">
        <v>195</v>
      </c>
      <c r="D6" s="209" t="s">
        <v>214</v>
      </c>
      <c r="E6" s="209"/>
      <c r="F6" s="209"/>
      <c r="G6" s="209"/>
      <c r="H6" s="209"/>
      <c r="I6" s="209"/>
      <c r="J6" s="209"/>
      <c r="K6" s="30"/>
      <c r="L6" s="2"/>
      <c r="M6" s="2"/>
      <c r="N6" s="2"/>
      <c r="O6" s="2"/>
      <c r="P6" s="2"/>
      <c r="Q6" s="2"/>
      <c r="R6" s="2"/>
      <c r="Z6" s="2" t="s">
        <v>168</v>
      </c>
    </row>
    <row r="7" spans="2:33" ht="30" x14ac:dyDescent="0.2">
      <c r="B7" s="25" t="s">
        <v>205</v>
      </c>
      <c r="C7" s="93" t="s">
        <v>198</v>
      </c>
      <c r="D7" s="209" t="s">
        <v>215</v>
      </c>
      <c r="E7" s="209"/>
      <c r="F7" s="209"/>
      <c r="G7" s="209"/>
      <c r="H7" s="209"/>
      <c r="I7" s="209"/>
      <c r="J7" s="209"/>
      <c r="K7" s="30"/>
      <c r="L7" s="2"/>
      <c r="M7" s="2"/>
      <c r="N7" s="2"/>
      <c r="O7" s="2"/>
      <c r="P7" s="2"/>
      <c r="Q7" s="2"/>
      <c r="R7" s="2"/>
      <c r="X7" s="31" t="s">
        <v>154</v>
      </c>
      <c r="Z7" s="2" t="s">
        <v>169</v>
      </c>
      <c r="AD7" s="2" t="s">
        <v>12</v>
      </c>
    </row>
    <row r="8" spans="2:33" ht="30" x14ac:dyDescent="0.2">
      <c r="B8" s="25" t="s">
        <v>205</v>
      </c>
      <c r="C8" s="93" t="s">
        <v>196</v>
      </c>
      <c r="D8" s="209" t="s">
        <v>216</v>
      </c>
      <c r="E8" s="209"/>
      <c r="F8" s="209"/>
      <c r="G8" s="209"/>
      <c r="H8" s="209"/>
      <c r="I8" s="209"/>
      <c r="J8" s="209"/>
      <c r="K8" s="30"/>
      <c r="L8" s="2"/>
      <c r="M8" s="2"/>
      <c r="N8" s="2"/>
      <c r="O8" s="2"/>
      <c r="P8" s="2"/>
      <c r="Q8" s="2"/>
      <c r="R8" s="2"/>
      <c r="X8" s="2" t="s">
        <v>153</v>
      </c>
      <c r="Z8" s="2" t="s">
        <v>170</v>
      </c>
      <c r="AD8" s="2" t="s">
        <v>13</v>
      </c>
    </row>
    <row r="9" spans="2:33" ht="30" x14ac:dyDescent="0.2">
      <c r="B9" s="25" t="s">
        <v>205</v>
      </c>
      <c r="C9" s="93" t="s">
        <v>197</v>
      </c>
      <c r="D9" s="209" t="s">
        <v>290</v>
      </c>
      <c r="E9" s="209"/>
      <c r="F9" s="209"/>
      <c r="G9" s="209"/>
      <c r="H9" s="209"/>
      <c r="I9" s="209"/>
      <c r="J9" s="209"/>
      <c r="K9" s="30"/>
      <c r="L9" s="2"/>
      <c r="M9" s="2"/>
      <c r="N9" s="2"/>
      <c r="O9" s="2"/>
      <c r="P9" s="2"/>
      <c r="Q9" s="2"/>
      <c r="R9" s="2"/>
      <c r="AD9" s="2" t="s">
        <v>31</v>
      </c>
    </row>
    <row r="10" spans="2:33" ht="5.45" customHeight="1" x14ac:dyDescent="0.25">
      <c r="C10" s="94"/>
      <c r="D10" s="4"/>
    </row>
    <row r="11" spans="2:33" ht="15.75" x14ac:dyDescent="0.25">
      <c r="C11" s="95" t="s">
        <v>287</v>
      </c>
      <c r="D11" s="4"/>
      <c r="X11" s="2" t="s">
        <v>161</v>
      </c>
      <c r="Z11" s="2" t="s">
        <v>173</v>
      </c>
    </row>
    <row r="12" spans="2:33" x14ac:dyDescent="0.2">
      <c r="B12" s="25"/>
      <c r="C12" s="93" t="s">
        <v>195</v>
      </c>
      <c r="D12" s="2" t="s">
        <v>185</v>
      </c>
      <c r="E12" s="2"/>
      <c r="F12" s="2"/>
      <c r="G12" s="2"/>
      <c r="H12" s="2"/>
      <c r="I12" s="2"/>
      <c r="J12" s="2"/>
      <c r="K12" s="30"/>
      <c r="L12" s="2"/>
      <c r="M12" s="2"/>
      <c r="N12" s="2"/>
      <c r="O12" s="2"/>
      <c r="P12" s="2"/>
      <c r="Q12" s="2"/>
      <c r="R12" s="2"/>
      <c r="X12" s="2" t="s">
        <v>129</v>
      </c>
      <c r="Z12" s="2" t="s">
        <v>174</v>
      </c>
    </row>
    <row r="13" spans="2:33" x14ac:dyDescent="0.2">
      <c r="B13" s="25"/>
      <c r="C13" s="93" t="s">
        <v>198</v>
      </c>
      <c r="D13" s="2" t="s">
        <v>186</v>
      </c>
      <c r="E13" s="2"/>
      <c r="F13" s="2"/>
      <c r="G13" s="2"/>
      <c r="H13" s="2"/>
      <c r="I13" s="2"/>
      <c r="J13" s="2"/>
      <c r="K13" s="30"/>
      <c r="L13" s="2"/>
      <c r="M13" s="2"/>
      <c r="N13" s="2"/>
      <c r="O13" s="2"/>
      <c r="P13" s="2"/>
      <c r="Q13" s="2"/>
      <c r="R13" s="2"/>
    </row>
    <row r="14" spans="2:33" x14ac:dyDescent="0.2">
      <c r="B14" s="25"/>
      <c r="C14" s="93" t="s">
        <v>196</v>
      </c>
      <c r="D14" s="2" t="s">
        <v>187</v>
      </c>
      <c r="E14" s="2"/>
      <c r="F14" s="2"/>
      <c r="G14" s="2"/>
      <c r="H14" s="2"/>
      <c r="I14" s="2"/>
      <c r="J14" s="2"/>
      <c r="K14" s="30"/>
      <c r="L14" s="2"/>
      <c r="M14" s="2"/>
      <c r="N14" s="2"/>
      <c r="O14" s="2"/>
      <c r="P14" s="2"/>
      <c r="Q14" s="2"/>
      <c r="R14" s="2"/>
    </row>
    <row r="15" spans="2:33" ht="7.9" customHeight="1" x14ac:dyDescent="0.25">
      <c r="C15" s="94"/>
    </row>
    <row r="16" spans="2:33" ht="15.75" x14ac:dyDescent="0.25">
      <c r="C16" s="96" t="s">
        <v>199</v>
      </c>
    </row>
    <row r="17" spans="2:18" x14ac:dyDescent="0.2">
      <c r="B17" s="25"/>
      <c r="C17" s="93" t="s">
        <v>195</v>
      </c>
      <c r="D17" s="26" t="s">
        <v>188</v>
      </c>
      <c r="E17" s="2"/>
      <c r="F17" s="2"/>
      <c r="G17" s="2"/>
      <c r="H17" s="2"/>
      <c r="I17" s="2"/>
      <c r="J17" s="2"/>
      <c r="K17" s="30"/>
      <c r="L17" s="2"/>
      <c r="M17" s="2"/>
      <c r="N17" s="2"/>
      <c r="O17" s="2"/>
      <c r="P17" s="2"/>
      <c r="Q17" s="2"/>
      <c r="R17" s="2"/>
    </row>
    <row r="18" spans="2:18" x14ac:dyDescent="0.2">
      <c r="B18" s="25"/>
      <c r="C18" s="93" t="s">
        <v>198</v>
      </c>
      <c r="D18" s="26" t="s">
        <v>189</v>
      </c>
      <c r="E18" s="2"/>
      <c r="F18" s="2"/>
      <c r="G18" s="2"/>
      <c r="H18" s="2"/>
      <c r="I18" s="2"/>
      <c r="J18" s="2"/>
      <c r="K18" s="30"/>
      <c r="L18" s="2"/>
      <c r="M18" s="2"/>
      <c r="N18" s="2"/>
      <c r="O18" s="2"/>
      <c r="P18" s="2"/>
      <c r="Q18" s="2"/>
      <c r="R18" s="2"/>
    </row>
    <row r="19" spans="2:18" x14ac:dyDescent="0.2">
      <c r="B19" s="25"/>
      <c r="C19" s="93" t="s">
        <v>196</v>
      </c>
      <c r="D19" s="26" t="s">
        <v>190</v>
      </c>
      <c r="E19" s="2"/>
      <c r="F19" s="2"/>
      <c r="G19" s="2"/>
      <c r="H19" s="2"/>
      <c r="I19" s="2"/>
      <c r="J19" s="2"/>
      <c r="K19" s="30"/>
      <c r="L19" s="2"/>
      <c r="M19" s="2"/>
      <c r="N19" s="2"/>
      <c r="O19" s="2"/>
      <c r="P19" s="2"/>
      <c r="Q19" s="2"/>
      <c r="R19" s="2"/>
    </row>
    <row r="20" spans="2:18" x14ac:dyDescent="0.2">
      <c r="B20" s="25"/>
      <c r="C20" s="93" t="s">
        <v>200</v>
      </c>
      <c r="D20" s="26" t="s">
        <v>191</v>
      </c>
      <c r="E20" s="2"/>
      <c r="F20" s="2"/>
      <c r="G20" s="2"/>
      <c r="H20" s="2"/>
      <c r="I20" s="2"/>
      <c r="J20" s="2"/>
      <c r="K20" s="30"/>
      <c r="L20" s="2"/>
      <c r="M20" s="2"/>
      <c r="N20" s="2"/>
      <c r="O20" s="2"/>
      <c r="P20" s="2"/>
      <c r="Q20" s="2"/>
      <c r="R20" s="2"/>
    </row>
    <row r="21" spans="2:18" x14ac:dyDescent="0.2">
      <c r="B21" s="25"/>
      <c r="C21" s="93" t="s">
        <v>201</v>
      </c>
      <c r="D21" s="26" t="s">
        <v>192</v>
      </c>
      <c r="E21" s="2"/>
      <c r="F21" s="2"/>
      <c r="G21" s="2"/>
      <c r="H21" s="2"/>
      <c r="I21" s="2"/>
      <c r="J21" s="2"/>
      <c r="K21" s="30"/>
      <c r="L21" s="2"/>
      <c r="M21" s="2"/>
      <c r="N21" s="2"/>
      <c r="O21" s="2"/>
      <c r="P21" s="2"/>
      <c r="Q21" s="2"/>
      <c r="R21" s="2"/>
    </row>
    <row r="22" spans="2:18" x14ac:dyDescent="0.2">
      <c r="B22" s="25"/>
      <c r="C22" s="93" t="s">
        <v>202</v>
      </c>
      <c r="D22" s="26" t="s">
        <v>193</v>
      </c>
      <c r="E22" s="2"/>
      <c r="F22" s="2"/>
      <c r="G22" s="2"/>
      <c r="H22" s="2"/>
      <c r="I22" s="2"/>
      <c r="J22" s="2"/>
      <c r="K22" s="30"/>
      <c r="L22" s="2"/>
      <c r="M22" s="2"/>
      <c r="N22" s="2"/>
      <c r="O22" s="2"/>
      <c r="P22" s="2"/>
      <c r="Q22" s="2"/>
      <c r="R22" s="2"/>
    </row>
    <row r="23" spans="2:18" x14ac:dyDescent="0.2">
      <c r="B23" s="25"/>
      <c r="C23" s="93" t="s">
        <v>203</v>
      </c>
      <c r="D23" s="26" t="s">
        <v>194</v>
      </c>
      <c r="E23" s="2"/>
      <c r="F23" s="2"/>
      <c r="G23" s="2"/>
      <c r="H23" s="2"/>
      <c r="I23" s="2"/>
      <c r="J23" s="2"/>
      <c r="K23" s="30"/>
      <c r="L23" s="2"/>
      <c r="M23" s="2"/>
      <c r="N23" s="2"/>
      <c r="O23" s="2"/>
      <c r="P23" s="2"/>
      <c r="Q23" s="2"/>
      <c r="R23" s="2"/>
    </row>
    <row r="24" spans="2:18" ht="9.6" customHeight="1" thickBot="1" x14ac:dyDescent="0.3"/>
    <row r="25" spans="2:18" ht="16.5" thickBot="1" x14ac:dyDescent="0.3">
      <c r="C25" s="92" t="s">
        <v>1</v>
      </c>
      <c r="G25" s="49" t="s">
        <v>151</v>
      </c>
    </row>
    <row r="26" spans="2:18" ht="14.45" customHeight="1" x14ac:dyDescent="0.25">
      <c r="C26" s="5" t="s">
        <v>152</v>
      </c>
    </row>
    <row r="27" spans="2:18" ht="15.75" x14ac:dyDescent="0.2">
      <c r="B27" s="25" t="s">
        <v>209</v>
      </c>
      <c r="C27" s="103"/>
      <c r="D27" s="212" t="s">
        <v>2</v>
      </c>
      <c r="E27" s="212"/>
      <c r="F27" s="212"/>
      <c r="G27" s="212"/>
      <c r="H27" s="212"/>
      <c r="I27" s="212"/>
      <c r="J27" s="212"/>
      <c r="K27" s="30"/>
      <c r="L27" s="2"/>
      <c r="M27" s="2"/>
      <c r="N27" s="2"/>
      <c r="O27" s="2"/>
      <c r="P27" s="2"/>
      <c r="Q27" s="2"/>
      <c r="R27" s="2"/>
    </row>
    <row r="28" spans="2:18" ht="16.5" thickBot="1" x14ac:dyDescent="0.3">
      <c r="C28" s="92" t="s">
        <v>210</v>
      </c>
    </row>
    <row r="29" spans="2:18" ht="16.5" thickBot="1" x14ac:dyDescent="0.3">
      <c r="D29" s="6" t="s">
        <v>155</v>
      </c>
      <c r="G29" s="203"/>
    </row>
    <row r="30" spans="2:18" ht="16.5" thickBot="1" x14ac:dyDescent="0.3">
      <c r="D30" s="6" t="s">
        <v>156</v>
      </c>
      <c r="G30" s="204"/>
    </row>
    <row r="31" spans="2:18" ht="16.5" thickBot="1" x14ac:dyDescent="0.3">
      <c r="D31" s="6" t="s">
        <v>157</v>
      </c>
      <c r="G31" s="203"/>
    </row>
    <row r="32" spans="2:18" ht="16.5" thickBot="1" x14ac:dyDescent="0.3">
      <c r="D32" s="6" t="s">
        <v>158</v>
      </c>
      <c r="G32" s="204"/>
    </row>
    <row r="33" spans="2:18" ht="16.5" thickBot="1" x14ac:dyDescent="0.3">
      <c r="D33" s="6" t="s">
        <v>159</v>
      </c>
      <c r="G33" s="203"/>
    </row>
    <row r="34" spans="2:18" ht="15.75" x14ac:dyDescent="0.25">
      <c r="C34" s="91" t="s">
        <v>160</v>
      </c>
    </row>
    <row r="35" spans="2:18" s="33" customFormat="1" ht="103.5" x14ac:dyDescent="0.2">
      <c r="B35" s="32" t="s">
        <v>213</v>
      </c>
      <c r="C35" s="98"/>
      <c r="D35" s="213" t="s">
        <v>4</v>
      </c>
      <c r="E35" s="213"/>
      <c r="F35" s="213"/>
      <c r="G35" s="213"/>
      <c r="H35" s="213"/>
      <c r="I35" s="213"/>
      <c r="J35" s="213"/>
      <c r="K35" s="36"/>
    </row>
    <row r="36" spans="2:18" s="30" customFormat="1" ht="7.15" customHeight="1" thickBot="1" x14ac:dyDescent="0.3">
      <c r="B36" s="27"/>
      <c r="C36" s="99"/>
      <c r="D36" s="29"/>
      <c r="E36" s="29"/>
      <c r="F36" s="29"/>
      <c r="G36" s="29"/>
      <c r="H36" s="29"/>
      <c r="I36" s="29"/>
      <c r="J36" s="29"/>
      <c r="K36" s="28"/>
      <c r="L36" s="28"/>
      <c r="M36" s="28"/>
      <c r="N36" s="28"/>
      <c r="O36" s="28"/>
      <c r="P36" s="28"/>
      <c r="Q36" s="28"/>
      <c r="R36" s="28"/>
    </row>
    <row r="37" spans="2:18" ht="16.5" thickBot="1" x14ac:dyDescent="0.3">
      <c r="D37" s="3" t="s">
        <v>3</v>
      </c>
      <c r="G37" s="17"/>
    </row>
    <row r="38" spans="2:18" ht="16.5" thickBot="1" x14ac:dyDescent="0.3">
      <c r="D38" s="3" t="s">
        <v>5</v>
      </c>
      <c r="G38" s="16"/>
    </row>
    <row r="39" spans="2:18" ht="16.5" thickBot="1" x14ac:dyDescent="0.3">
      <c r="D39" s="3" t="s">
        <v>6</v>
      </c>
      <c r="G39" s="17"/>
    </row>
    <row r="40" spans="2:18" ht="6.6" customHeight="1" x14ac:dyDescent="0.25">
      <c r="D40" s="18"/>
    </row>
    <row r="41" spans="2:18" ht="15.75" x14ac:dyDescent="0.25">
      <c r="C41" s="91" t="s">
        <v>7</v>
      </c>
    </row>
    <row r="42" spans="2:18" ht="65.25" x14ac:dyDescent="0.25">
      <c r="B42" s="32" t="s">
        <v>212</v>
      </c>
      <c r="D42" s="213" t="s">
        <v>8</v>
      </c>
      <c r="E42" s="213"/>
      <c r="F42" s="213"/>
      <c r="G42" s="213"/>
      <c r="H42" s="213"/>
      <c r="I42" s="213"/>
      <c r="J42" s="213"/>
    </row>
    <row r="43" spans="2:18" ht="8.4499999999999993" customHeight="1" x14ac:dyDescent="0.25"/>
    <row r="44" spans="2:18" ht="33.75" thickBot="1" x14ac:dyDescent="0.3">
      <c r="B44" s="22" t="s">
        <v>205</v>
      </c>
      <c r="C44" s="316" t="s">
        <v>9</v>
      </c>
      <c r="D44" s="316"/>
      <c r="E44" s="316"/>
      <c r="F44" s="316"/>
      <c r="G44" s="316"/>
      <c r="H44" s="316"/>
      <c r="I44" s="316"/>
      <c r="J44" s="316"/>
    </row>
    <row r="45" spans="2:18" s="30" customFormat="1" ht="31.9" customHeight="1" thickBot="1" x14ac:dyDescent="0.25">
      <c r="B45" s="55" t="s">
        <v>205</v>
      </c>
      <c r="C45" s="161"/>
      <c r="D45" s="214" t="s">
        <v>10</v>
      </c>
      <c r="E45" s="214"/>
      <c r="F45" s="214"/>
      <c r="G45" s="214"/>
      <c r="H45" s="214"/>
      <c r="I45" s="215"/>
      <c r="J45" s="162"/>
    </row>
    <row r="46" spans="2:18" s="30" customFormat="1" ht="5.45" customHeight="1" x14ac:dyDescent="0.25">
      <c r="B46" s="34"/>
      <c r="C46" s="99"/>
      <c r="D46" s="28"/>
      <c r="E46" s="28"/>
      <c r="F46" s="28"/>
      <c r="G46" s="28"/>
      <c r="H46" s="28"/>
      <c r="I46" s="28"/>
      <c r="J46" s="28"/>
      <c r="K46" s="28"/>
      <c r="L46" s="28"/>
      <c r="M46" s="28"/>
      <c r="N46" s="28"/>
      <c r="O46" s="28"/>
      <c r="P46" s="28"/>
      <c r="Q46" s="28"/>
      <c r="R46" s="28"/>
    </row>
    <row r="47" spans="2:18" ht="15.75" x14ac:dyDescent="0.25">
      <c r="C47" s="95" t="s">
        <v>0</v>
      </c>
    </row>
    <row r="48" spans="2:18" s="24" customFormat="1" ht="52.5" x14ac:dyDescent="0.2">
      <c r="B48" s="23" t="s">
        <v>148</v>
      </c>
      <c r="C48" s="163"/>
      <c r="D48" s="216" t="s">
        <v>217</v>
      </c>
      <c r="E48" s="216"/>
      <c r="F48" s="216"/>
      <c r="G48" s="216"/>
      <c r="H48" s="216"/>
      <c r="I48" s="216"/>
      <c r="J48" s="216"/>
      <c r="K48" s="164"/>
    </row>
    <row r="49" spans="2:18" s="30" customFormat="1" ht="9" customHeight="1" thickBot="1" x14ac:dyDescent="0.3">
      <c r="B49" s="34"/>
      <c r="C49" s="99"/>
      <c r="D49" s="35"/>
      <c r="E49" s="35"/>
      <c r="F49" s="35"/>
      <c r="G49" s="35"/>
      <c r="H49" s="35"/>
      <c r="I49" s="35"/>
      <c r="J49" s="35"/>
      <c r="K49" s="28"/>
      <c r="L49" s="28"/>
      <c r="M49" s="28"/>
      <c r="N49" s="28"/>
      <c r="O49" s="28"/>
      <c r="P49" s="28"/>
      <c r="Q49" s="28"/>
      <c r="R49" s="28"/>
    </row>
    <row r="50" spans="2:18" ht="32.450000000000003" customHeight="1" thickBot="1" x14ac:dyDescent="0.3">
      <c r="B50" s="22" t="s">
        <v>205</v>
      </c>
      <c r="D50" s="206" t="s">
        <v>11</v>
      </c>
      <c r="E50" s="206"/>
      <c r="F50" s="206"/>
      <c r="G50" s="206"/>
      <c r="H50" s="206"/>
      <c r="I50" s="207"/>
      <c r="J50" s="17"/>
    </row>
    <row r="51" spans="2:18" ht="7.15" customHeight="1" thickBot="1" x14ac:dyDescent="0.3">
      <c r="K51" s="19"/>
    </row>
    <row r="52" spans="2:18" ht="16.5" thickBot="1" x14ac:dyDescent="0.3">
      <c r="D52" s="3" t="s">
        <v>14</v>
      </c>
      <c r="H52" s="227" t="s">
        <v>288</v>
      </c>
      <c r="I52" s="228"/>
      <c r="J52" s="229"/>
      <c r="K52" s="28" t="s">
        <v>289</v>
      </c>
    </row>
    <row r="53" spans="2:18" ht="16.5" thickBot="1" x14ac:dyDescent="0.3">
      <c r="D53" s="3" t="s">
        <v>15</v>
      </c>
      <c r="H53" s="227"/>
      <c r="I53" s="228"/>
      <c r="J53" s="229"/>
      <c r="K53" s="28" t="s">
        <v>289</v>
      </c>
    </row>
    <row r="54" spans="2:18" ht="7.9" customHeight="1" x14ac:dyDescent="0.25">
      <c r="D54" s="3"/>
      <c r="H54" s="38"/>
      <c r="I54" s="38"/>
      <c r="J54" s="38"/>
    </row>
    <row r="55" spans="2:18" ht="15.75" x14ac:dyDescent="0.25">
      <c r="C55" s="91" t="s">
        <v>16</v>
      </c>
    </row>
    <row r="56" spans="2:18" ht="15.75" x14ac:dyDescent="0.25">
      <c r="C56" s="91" t="s">
        <v>218</v>
      </c>
    </row>
    <row r="57" spans="2:18" ht="16.5" thickBot="1" x14ac:dyDescent="0.3">
      <c r="D57" s="20" t="s">
        <v>17</v>
      </c>
    </row>
    <row r="58" spans="2:18" ht="15" thickBot="1" x14ac:dyDescent="0.25">
      <c r="B58" s="25"/>
      <c r="C58" s="103"/>
      <c r="D58" s="165" t="s">
        <v>18</v>
      </c>
      <c r="E58" s="2"/>
      <c r="F58" s="2"/>
      <c r="G58" s="48"/>
      <c r="H58" s="2"/>
      <c r="I58" s="2"/>
      <c r="J58" s="2"/>
      <c r="K58" s="30"/>
      <c r="L58" s="2"/>
      <c r="M58" s="2"/>
      <c r="N58" s="2"/>
      <c r="O58" s="2"/>
      <c r="P58" s="2"/>
      <c r="Q58" s="2"/>
      <c r="R58" s="2"/>
    </row>
    <row r="59" spans="2:18" ht="15" thickBot="1" x14ac:dyDescent="0.25">
      <c r="B59" s="25"/>
      <c r="C59" s="103"/>
      <c r="D59" s="165" t="s">
        <v>19</v>
      </c>
      <c r="E59" s="2"/>
      <c r="F59" s="2"/>
      <c r="G59" s="49"/>
      <c r="H59" s="2"/>
      <c r="I59" s="2"/>
      <c r="J59" s="2"/>
      <c r="K59" s="30"/>
      <c r="L59" s="2"/>
      <c r="M59" s="2"/>
      <c r="N59" s="2"/>
      <c r="O59" s="2"/>
      <c r="P59" s="2"/>
      <c r="Q59" s="2"/>
      <c r="R59" s="2"/>
    </row>
    <row r="60" spans="2:18" ht="15" thickBot="1" x14ac:dyDescent="0.25">
      <c r="B60" s="25"/>
      <c r="C60" s="103"/>
      <c r="D60" s="165" t="s">
        <v>20</v>
      </c>
      <c r="E60" s="2"/>
      <c r="F60" s="2"/>
      <c r="G60" s="48"/>
      <c r="H60" s="2"/>
      <c r="I60" s="2"/>
      <c r="J60" s="2"/>
      <c r="K60" s="30"/>
      <c r="L60" s="2"/>
      <c r="M60" s="2"/>
      <c r="N60" s="2"/>
      <c r="O60" s="2"/>
      <c r="P60" s="2"/>
      <c r="Q60" s="2"/>
      <c r="R60" s="2"/>
    </row>
    <row r="61" spans="2:18" ht="15" thickBot="1" x14ac:dyDescent="0.25">
      <c r="B61" s="25"/>
      <c r="C61" s="103"/>
      <c r="D61" s="165" t="s">
        <v>21</v>
      </c>
      <c r="E61" s="2"/>
      <c r="F61" s="2"/>
      <c r="G61" s="49"/>
      <c r="H61" s="2"/>
      <c r="I61" s="2"/>
      <c r="J61" s="2"/>
      <c r="K61" s="30"/>
      <c r="L61" s="2"/>
      <c r="M61" s="2"/>
      <c r="N61" s="2"/>
      <c r="O61" s="2"/>
      <c r="P61" s="2"/>
      <c r="Q61" s="2"/>
      <c r="R61" s="2"/>
    </row>
    <row r="62" spans="2:18" ht="11.45" customHeight="1" x14ac:dyDescent="0.25"/>
    <row r="63" spans="2:18" ht="15.75" x14ac:dyDescent="0.25">
      <c r="C63" s="91" t="s">
        <v>22</v>
      </c>
    </row>
    <row r="64" spans="2:18" ht="72.75" x14ac:dyDescent="0.2">
      <c r="B64" s="25" t="s">
        <v>212</v>
      </c>
      <c r="C64" s="103"/>
      <c r="D64" s="230" t="s">
        <v>149</v>
      </c>
      <c r="E64" s="230"/>
      <c r="F64" s="230"/>
      <c r="G64" s="230"/>
      <c r="H64" s="230"/>
      <c r="I64" s="230"/>
      <c r="J64" s="230"/>
      <c r="K64" s="30"/>
      <c r="L64" s="2"/>
      <c r="M64" s="2"/>
      <c r="N64" s="2"/>
      <c r="O64" s="2"/>
      <c r="P64" s="2"/>
      <c r="Q64" s="2"/>
      <c r="R64" s="2"/>
    </row>
    <row r="65" spans="2:23" ht="6.6" customHeight="1" x14ac:dyDescent="0.25"/>
    <row r="66" spans="2:23" ht="33" x14ac:dyDescent="0.25">
      <c r="B66" s="22" t="s">
        <v>205</v>
      </c>
      <c r="C66" s="317" t="s">
        <v>23</v>
      </c>
      <c r="D66" s="317"/>
      <c r="E66" s="317"/>
      <c r="F66" s="317"/>
      <c r="G66" s="317"/>
      <c r="H66" s="317"/>
      <c r="I66" s="317"/>
      <c r="J66" s="317"/>
    </row>
    <row r="67" spans="2:23" ht="16.5" thickBot="1" x14ac:dyDescent="0.3">
      <c r="D67" s="20" t="s">
        <v>17</v>
      </c>
    </row>
    <row r="68" spans="2:23" ht="15" thickBot="1" x14ac:dyDescent="0.25">
      <c r="B68" s="25"/>
      <c r="C68" s="103"/>
      <c r="D68" s="166" t="s">
        <v>18</v>
      </c>
      <c r="E68" s="2"/>
      <c r="F68" s="2"/>
      <c r="G68" s="49"/>
      <c r="H68" s="2"/>
      <c r="I68" s="2"/>
      <c r="J68" s="2"/>
      <c r="K68" s="30"/>
      <c r="L68" s="2"/>
      <c r="M68" s="2"/>
      <c r="N68" s="2"/>
      <c r="O68" s="2"/>
      <c r="P68" s="2"/>
      <c r="Q68" s="2"/>
      <c r="R68" s="2"/>
    </row>
    <row r="69" spans="2:23" ht="15" thickBot="1" x14ac:dyDescent="0.25">
      <c r="B69" s="25"/>
      <c r="C69" s="103"/>
      <c r="D69" s="166" t="s">
        <v>19</v>
      </c>
      <c r="E69" s="2"/>
      <c r="F69" s="2"/>
      <c r="G69" s="48"/>
      <c r="H69" s="2"/>
      <c r="I69" s="2"/>
      <c r="J69" s="2"/>
      <c r="K69" s="30"/>
      <c r="L69" s="2"/>
      <c r="M69" s="2"/>
      <c r="N69" s="2"/>
      <c r="O69" s="2"/>
      <c r="P69" s="2"/>
      <c r="Q69" s="2"/>
      <c r="R69" s="2"/>
    </row>
    <row r="70" spans="2:23" ht="15" thickBot="1" x14ac:dyDescent="0.25">
      <c r="B70" s="25"/>
      <c r="C70" s="103"/>
      <c r="D70" s="166" t="s">
        <v>20</v>
      </c>
      <c r="E70" s="2"/>
      <c r="F70" s="2"/>
      <c r="G70" s="49"/>
      <c r="H70" s="2"/>
      <c r="I70" s="2"/>
      <c r="J70" s="2"/>
      <c r="K70" s="30"/>
      <c r="L70" s="2"/>
      <c r="M70" s="2"/>
      <c r="N70" s="2"/>
      <c r="O70" s="2"/>
      <c r="P70" s="2"/>
      <c r="Q70" s="2"/>
      <c r="R70" s="2"/>
    </row>
    <row r="71" spans="2:23" ht="15" thickBot="1" x14ac:dyDescent="0.25">
      <c r="B71" s="25"/>
      <c r="C71" s="103"/>
      <c r="D71" s="166" t="s">
        <v>21</v>
      </c>
      <c r="E71" s="2"/>
      <c r="F71" s="2"/>
      <c r="G71" s="48"/>
      <c r="H71" s="2"/>
      <c r="I71" s="2"/>
      <c r="J71" s="2"/>
      <c r="K71" s="30"/>
      <c r="L71" s="2"/>
      <c r="M71" s="2"/>
      <c r="N71" s="2"/>
      <c r="O71" s="2"/>
      <c r="P71" s="2"/>
      <c r="Q71" s="2"/>
      <c r="R71" s="2"/>
    </row>
    <row r="72" spans="2:23" ht="15" thickBot="1" x14ac:dyDescent="0.25">
      <c r="B72" s="25"/>
      <c r="C72" s="103"/>
      <c r="D72" s="166" t="s">
        <v>24</v>
      </c>
      <c r="E72" s="2"/>
      <c r="F72" s="2"/>
      <c r="G72" s="49"/>
      <c r="H72" s="2"/>
      <c r="I72" s="2"/>
      <c r="J72" s="2"/>
      <c r="K72" s="30"/>
      <c r="L72" s="2"/>
      <c r="M72" s="2"/>
      <c r="N72" s="2"/>
      <c r="O72" s="2"/>
      <c r="P72" s="2"/>
      <c r="Q72" s="2"/>
      <c r="R72" s="2"/>
    </row>
    <row r="73" spans="2:23" ht="15" thickBot="1" x14ac:dyDescent="0.25">
      <c r="B73" s="25"/>
      <c r="C73" s="103"/>
      <c r="D73" s="166" t="s">
        <v>25</v>
      </c>
      <c r="E73" s="2"/>
      <c r="F73" s="2"/>
      <c r="G73" s="48"/>
      <c r="H73" s="2"/>
      <c r="I73" s="2"/>
      <c r="J73" s="2"/>
      <c r="K73" s="30"/>
      <c r="L73" s="2"/>
      <c r="M73" s="2"/>
      <c r="N73" s="2"/>
      <c r="O73" s="2"/>
      <c r="P73" s="2"/>
      <c r="Q73" s="2"/>
      <c r="R73" s="2"/>
    </row>
    <row r="74" spans="2:23" ht="10.9" customHeight="1" x14ac:dyDescent="0.25"/>
    <row r="75" spans="2:23" ht="15.75" x14ac:dyDescent="0.25">
      <c r="C75" s="100" t="s">
        <v>26</v>
      </c>
      <c r="G75" s="231" t="s">
        <v>219</v>
      </c>
      <c r="H75" s="231"/>
      <c r="I75" s="231"/>
      <c r="J75" s="231"/>
    </row>
    <row r="76" spans="2:23" s="1" customFormat="1" ht="16.5" thickBot="1" x14ac:dyDescent="0.3">
      <c r="B76" s="22"/>
      <c r="C76" s="97"/>
      <c r="G76" s="224" t="s">
        <v>220</v>
      </c>
      <c r="H76" s="224"/>
      <c r="I76" s="224"/>
      <c r="J76" s="224"/>
      <c r="K76" s="28"/>
      <c r="S76" s="2"/>
      <c r="T76" s="2"/>
      <c r="U76" s="2"/>
      <c r="V76" s="2"/>
      <c r="W76" s="2"/>
    </row>
    <row r="77" spans="2:23" s="1" customFormat="1" ht="16.5" thickBot="1" x14ac:dyDescent="0.3">
      <c r="B77" s="22"/>
      <c r="C77" s="97"/>
      <c r="J77" s="141" t="s">
        <v>242</v>
      </c>
      <c r="K77" s="28"/>
      <c r="S77" s="2"/>
      <c r="T77" s="2"/>
      <c r="U77" s="2"/>
      <c r="V77" s="2"/>
      <c r="W77" s="2"/>
    </row>
    <row r="78" spans="2:23" ht="31.9" customHeight="1" thickBot="1" x14ac:dyDescent="0.25">
      <c r="B78" s="25" t="s">
        <v>205</v>
      </c>
      <c r="C78" s="225" t="s">
        <v>27</v>
      </c>
      <c r="D78" s="225"/>
      <c r="E78" s="225"/>
      <c r="F78" s="225"/>
      <c r="G78" s="225"/>
      <c r="H78" s="225"/>
      <c r="I78" s="226"/>
      <c r="J78" s="167"/>
      <c r="K78" s="30"/>
      <c r="L78" s="9"/>
      <c r="M78" s="9"/>
      <c r="N78" s="9"/>
      <c r="O78" s="9"/>
      <c r="P78" s="9"/>
      <c r="Q78" s="9"/>
      <c r="R78" s="9"/>
      <c r="S78" s="9"/>
      <c r="T78" s="9"/>
    </row>
    <row r="79" spans="2:23" ht="16.149999999999999" customHeight="1" thickBot="1" x14ac:dyDescent="0.25">
      <c r="B79" s="25"/>
      <c r="C79" s="225" t="s">
        <v>29</v>
      </c>
      <c r="D79" s="225"/>
      <c r="E79" s="225"/>
      <c r="F79" s="225"/>
      <c r="G79" s="225"/>
      <c r="H79" s="225"/>
      <c r="I79" s="226"/>
      <c r="J79" s="168"/>
      <c r="K79" s="30"/>
      <c r="L79" s="2"/>
      <c r="M79" s="2"/>
      <c r="N79" s="2"/>
      <c r="O79" s="2"/>
      <c r="P79" s="2"/>
      <c r="Q79" s="2"/>
      <c r="R79" s="2"/>
    </row>
    <row r="80" spans="2:23" ht="16.149999999999999" customHeight="1" thickBot="1" x14ac:dyDescent="0.25">
      <c r="B80" s="25"/>
      <c r="C80" s="225" t="s">
        <v>30</v>
      </c>
      <c r="D80" s="225"/>
      <c r="E80" s="225"/>
      <c r="F80" s="225"/>
      <c r="G80" s="225"/>
      <c r="H80" s="225"/>
      <c r="I80" s="226"/>
      <c r="J80" s="49"/>
      <c r="K80" s="30"/>
      <c r="L80" s="2"/>
      <c r="M80" s="2"/>
      <c r="N80" s="2"/>
      <c r="O80" s="2"/>
      <c r="P80" s="2"/>
      <c r="Q80" s="2"/>
      <c r="R80" s="2"/>
    </row>
    <row r="81" spans="2:18" ht="9" customHeight="1" x14ac:dyDescent="0.25"/>
    <row r="82" spans="2:18" ht="15.75" x14ac:dyDescent="0.25">
      <c r="C82" s="91" t="s">
        <v>32</v>
      </c>
    </row>
    <row r="83" spans="2:18" ht="15.75" x14ac:dyDescent="0.25">
      <c r="C83" s="91" t="s">
        <v>33</v>
      </c>
    </row>
    <row r="84" spans="2:18" ht="15.75" x14ac:dyDescent="0.25">
      <c r="D84" s="9" t="s">
        <v>34</v>
      </c>
      <c r="F84" s="217" t="s">
        <v>221</v>
      </c>
      <c r="G84" s="217"/>
      <c r="H84" s="217"/>
      <c r="I84" s="217"/>
      <c r="J84" s="217"/>
    </row>
    <row r="85" spans="2:18" ht="15.75" x14ac:dyDescent="0.25">
      <c r="D85" s="5"/>
      <c r="F85" s="217"/>
      <c r="G85" s="217"/>
      <c r="H85" s="217"/>
      <c r="I85" s="217"/>
      <c r="J85" s="217"/>
    </row>
    <row r="86" spans="2:18" s="30" customFormat="1" ht="6" customHeight="1" thickBot="1" x14ac:dyDescent="0.3">
      <c r="B86" s="34"/>
      <c r="C86" s="99"/>
      <c r="D86" s="39"/>
      <c r="E86" s="28"/>
      <c r="F86" s="40"/>
      <c r="G86" s="40"/>
      <c r="H86" s="40"/>
      <c r="I86" s="40"/>
      <c r="J86" s="40"/>
      <c r="K86" s="28"/>
      <c r="L86" s="28"/>
      <c r="M86" s="28"/>
      <c r="N86" s="28"/>
      <c r="O86" s="28"/>
      <c r="P86" s="28"/>
      <c r="Q86" s="28"/>
      <c r="R86" s="28"/>
    </row>
    <row r="87" spans="2:18" ht="16.5" thickBot="1" x14ac:dyDescent="0.3">
      <c r="C87" s="240" t="s">
        <v>35</v>
      </c>
      <c r="D87" s="241"/>
      <c r="E87" s="241"/>
      <c r="F87" s="218"/>
      <c r="G87" s="218"/>
      <c r="H87" s="218"/>
      <c r="I87" s="218"/>
      <c r="J87" s="219"/>
      <c r="K87" s="28" t="s">
        <v>291</v>
      </c>
    </row>
    <row r="88" spans="2:18" ht="16.5" thickBot="1" x14ac:dyDescent="0.3">
      <c r="C88" s="242" t="s">
        <v>222</v>
      </c>
      <c r="D88" s="243"/>
      <c r="E88" s="243"/>
      <c r="F88" s="220"/>
      <c r="G88" s="220"/>
      <c r="H88" s="220"/>
      <c r="I88" s="220"/>
      <c r="J88" s="221"/>
      <c r="K88" s="28" t="s">
        <v>291</v>
      </c>
      <c r="Q88" s="15"/>
      <c r="R88" s="15"/>
    </row>
    <row r="89" spans="2:18" ht="16.5" thickBot="1" x14ac:dyDescent="0.3">
      <c r="C89" s="240" t="s">
        <v>36</v>
      </c>
      <c r="D89" s="241"/>
      <c r="E89" s="241"/>
      <c r="F89" s="222"/>
      <c r="G89" s="222"/>
      <c r="H89" s="222"/>
      <c r="I89" s="222"/>
      <c r="J89" s="223"/>
      <c r="K89" s="28" t="s">
        <v>291</v>
      </c>
    </row>
    <row r="90" spans="2:18" ht="16.5" thickBot="1" x14ac:dyDescent="0.3">
      <c r="C90" s="240" t="s">
        <v>37</v>
      </c>
      <c r="D90" s="241"/>
      <c r="E90" s="241"/>
      <c r="F90" s="244"/>
      <c r="G90" s="245"/>
      <c r="H90" s="41" t="s">
        <v>162</v>
      </c>
      <c r="I90" s="42"/>
      <c r="J90" s="43"/>
      <c r="K90" s="28" t="s">
        <v>291</v>
      </c>
    </row>
    <row r="91" spans="2:18" ht="9.6" customHeight="1" x14ac:dyDescent="0.25">
      <c r="C91" s="95"/>
      <c r="D91" s="5"/>
      <c r="J91" s="10"/>
    </row>
    <row r="92" spans="2:18" ht="15.75" x14ac:dyDescent="0.25">
      <c r="C92" s="95" t="s">
        <v>38</v>
      </c>
      <c r="G92" s="13" t="s">
        <v>165</v>
      </c>
    </row>
    <row r="93" spans="2:18" ht="15.75" x14ac:dyDescent="0.25">
      <c r="C93" s="95" t="s">
        <v>39</v>
      </c>
      <c r="G93" s="13" t="s">
        <v>165</v>
      </c>
    </row>
    <row r="94" spans="2:18" ht="6" customHeight="1" x14ac:dyDescent="0.25"/>
    <row r="95" spans="2:18" ht="15.75" x14ac:dyDescent="0.25">
      <c r="C95" s="91" t="s">
        <v>40</v>
      </c>
    </row>
    <row r="96" spans="2:18" ht="10.15" customHeight="1" thickBot="1" x14ac:dyDescent="0.3"/>
    <row r="97" spans="2:23" ht="16.5" thickBot="1" x14ac:dyDescent="0.3">
      <c r="D97" s="45" t="s">
        <v>41</v>
      </c>
      <c r="E97" s="17">
        <v>5</v>
      </c>
      <c r="G97" s="44" t="s">
        <v>43</v>
      </c>
      <c r="H97" s="232">
        <f>+E97/H98</f>
        <v>0.5</v>
      </c>
      <c r="I97" s="233"/>
      <c r="S97" s="1"/>
      <c r="T97" s="1"/>
      <c r="U97" s="1"/>
      <c r="V97" s="1"/>
      <c r="W97" s="1"/>
    </row>
    <row r="98" spans="2:23" ht="33.75" thickBot="1" x14ac:dyDescent="0.3">
      <c r="B98" s="22" t="s">
        <v>205</v>
      </c>
      <c r="D98" s="234" t="s">
        <v>42</v>
      </c>
      <c r="E98" s="234"/>
      <c r="F98" s="235"/>
      <c r="G98" s="7"/>
      <c r="H98" s="7">
        <v>10</v>
      </c>
      <c r="I98" s="15"/>
      <c r="S98" s="1"/>
      <c r="T98" s="1"/>
      <c r="U98" s="1"/>
      <c r="V98" s="1"/>
      <c r="W98" s="1"/>
    </row>
    <row r="99" spans="2:23" ht="10.15" customHeight="1" x14ac:dyDescent="0.25"/>
    <row r="100" spans="2:23" ht="16.5" thickBot="1" x14ac:dyDescent="0.3">
      <c r="C100" s="91" t="s">
        <v>44</v>
      </c>
    </row>
    <row r="101" spans="2:23" ht="16.5" thickBot="1" x14ac:dyDescent="0.3">
      <c r="D101" s="324" t="s">
        <v>285</v>
      </c>
      <c r="E101" s="325"/>
      <c r="F101" s="326"/>
      <c r="G101" s="8" t="s">
        <v>242</v>
      </c>
    </row>
    <row r="102" spans="2:23" ht="15" thickBot="1" x14ac:dyDescent="0.25">
      <c r="B102" s="25"/>
      <c r="C102" s="103"/>
      <c r="D102" s="172" t="s">
        <v>46</v>
      </c>
      <c r="E102" s="11"/>
      <c r="F102" s="11"/>
      <c r="G102" s="169"/>
      <c r="H102" s="2"/>
      <c r="I102" s="2"/>
      <c r="J102" s="2"/>
      <c r="K102" s="30"/>
      <c r="L102" s="2"/>
      <c r="M102" s="2"/>
      <c r="N102" s="2"/>
      <c r="O102" s="2"/>
      <c r="P102" s="2"/>
      <c r="Q102" s="2"/>
      <c r="R102" s="2"/>
    </row>
    <row r="103" spans="2:23" ht="15" thickBot="1" x14ac:dyDescent="0.25">
      <c r="B103" s="25"/>
      <c r="C103" s="103"/>
      <c r="D103" s="172" t="s">
        <v>47</v>
      </c>
      <c r="E103" s="11"/>
      <c r="F103" s="11"/>
      <c r="G103" s="170"/>
      <c r="H103" s="2"/>
      <c r="I103" s="2"/>
      <c r="J103" s="2"/>
      <c r="K103" s="30"/>
      <c r="L103" s="2"/>
      <c r="M103" s="2"/>
      <c r="N103" s="2"/>
      <c r="O103" s="2"/>
      <c r="P103" s="2"/>
      <c r="Q103" s="2"/>
      <c r="R103" s="2"/>
    </row>
    <row r="104" spans="2:23" ht="15" thickBot="1" x14ac:dyDescent="0.25">
      <c r="B104" s="25"/>
      <c r="C104" s="103"/>
      <c r="D104" s="172" t="s">
        <v>48</v>
      </c>
      <c r="E104" s="11"/>
      <c r="F104" s="11"/>
      <c r="G104" s="169"/>
      <c r="H104" s="2"/>
      <c r="I104" s="2"/>
      <c r="J104" s="2"/>
      <c r="K104" s="30"/>
      <c r="L104" s="2"/>
      <c r="M104" s="2"/>
      <c r="N104" s="2"/>
      <c r="O104" s="2"/>
      <c r="P104" s="2"/>
      <c r="Q104" s="2"/>
      <c r="R104" s="2"/>
    </row>
    <row r="105" spans="2:23" ht="15" thickBot="1" x14ac:dyDescent="0.25">
      <c r="B105" s="25"/>
      <c r="C105" s="103"/>
      <c r="D105" s="172" t="s">
        <v>49</v>
      </c>
      <c r="E105" s="11"/>
      <c r="F105" s="11"/>
      <c r="G105" s="170"/>
      <c r="H105" s="2"/>
      <c r="I105" s="2"/>
      <c r="J105" s="2"/>
      <c r="K105" s="30"/>
      <c r="L105" s="2"/>
      <c r="M105" s="2"/>
      <c r="N105" s="2"/>
      <c r="O105" s="2"/>
      <c r="P105" s="2"/>
      <c r="Q105" s="2"/>
      <c r="R105" s="2"/>
    </row>
    <row r="106" spans="2:23" ht="15" thickBot="1" x14ac:dyDescent="0.25">
      <c r="B106" s="25"/>
      <c r="C106" s="103"/>
      <c r="D106" s="172" t="s">
        <v>50</v>
      </c>
      <c r="E106" s="11"/>
      <c r="F106" s="11"/>
      <c r="G106" s="169"/>
      <c r="H106" s="2"/>
      <c r="I106" s="2"/>
      <c r="J106" s="2"/>
      <c r="K106" s="30"/>
      <c r="L106" s="2"/>
      <c r="M106" s="2"/>
      <c r="N106" s="2"/>
      <c r="O106" s="2"/>
      <c r="P106" s="2"/>
      <c r="Q106" s="2"/>
      <c r="R106" s="2"/>
    </row>
    <row r="107" spans="2:23" ht="15" thickBot="1" x14ac:dyDescent="0.25">
      <c r="B107" s="25"/>
      <c r="C107" s="103"/>
      <c r="D107" s="172" t="s">
        <v>51</v>
      </c>
      <c r="E107" s="11"/>
      <c r="F107" s="11"/>
      <c r="G107" s="170"/>
      <c r="H107" s="2"/>
      <c r="I107" s="2"/>
      <c r="J107" s="2"/>
      <c r="K107" s="30"/>
      <c r="L107" s="2"/>
      <c r="M107" s="2"/>
      <c r="N107" s="2"/>
      <c r="O107" s="2"/>
      <c r="P107" s="2"/>
      <c r="Q107" s="2"/>
      <c r="R107" s="2"/>
    </row>
    <row r="108" spans="2:23" ht="15" thickBot="1" x14ac:dyDescent="0.25">
      <c r="B108" s="25"/>
      <c r="C108" s="103"/>
      <c r="D108" s="172" t="s">
        <v>223</v>
      </c>
      <c r="E108" s="11"/>
      <c r="F108" s="11"/>
      <c r="G108" s="169"/>
      <c r="H108" s="2"/>
      <c r="I108" s="2"/>
      <c r="J108" s="2"/>
      <c r="K108" s="30"/>
      <c r="L108" s="2"/>
      <c r="M108" s="2"/>
      <c r="N108" s="2"/>
      <c r="O108" s="2"/>
      <c r="P108" s="2"/>
      <c r="Q108" s="2"/>
      <c r="R108" s="2"/>
    </row>
    <row r="109" spans="2:23" ht="15" thickBot="1" x14ac:dyDescent="0.25">
      <c r="B109" s="25"/>
      <c r="C109" s="103"/>
      <c r="D109" s="172" t="s">
        <v>52</v>
      </c>
      <c r="E109" s="11"/>
      <c r="F109" s="11"/>
      <c r="G109" s="170"/>
      <c r="H109" s="2"/>
      <c r="I109" s="2"/>
      <c r="J109" s="2"/>
      <c r="K109" s="30"/>
      <c r="L109" s="2"/>
      <c r="M109" s="2"/>
      <c r="N109" s="2"/>
      <c r="O109" s="2"/>
      <c r="P109" s="2"/>
      <c r="Q109" s="2"/>
      <c r="R109" s="2"/>
    </row>
    <row r="110" spans="2:23" ht="15" thickBot="1" x14ac:dyDescent="0.25">
      <c r="B110" s="25"/>
      <c r="C110" s="103"/>
      <c r="D110" s="172" t="s">
        <v>53</v>
      </c>
      <c r="E110" s="11"/>
      <c r="F110" s="11"/>
      <c r="G110" s="169"/>
      <c r="H110" s="2"/>
      <c r="I110" s="2"/>
      <c r="J110" s="2"/>
      <c r="K110" s="30"/>
      <c r="L110" s="2"/>
      <c r="M110" s="2"/>
      <c r="N110" s="2"/>
      <c r="O110" s="2"/>
      <c r="P110" s="2"/>
      <c r="Q110" s="2"/>
      <c r="R110" s="2"/>
    </row>
    <row r="111" spans="2:23" ht="15" thickBot="1" x14ac:dyDescent="0.25">
      <c r="B111" s="25"/>
      <c r="C111" s="103"/>
      <c r="D111" s="174" t="s">
        <v>54</v>
      </c>
      <c r="E111" s="157"/>
      <c r="F111" s="157"/>
      <c r="G111" s="170"/>
      <c r="H111" s="2"/>
      <c r="I111" s="2"/>
      <c r="J111" s="2"/>
      <c r="K111" s="30"/>
      <c r="L111" s="2"/>
      <c r="M111" s="2"/>
      <c r="N111" s="2"/>
      <c r="O111" s="2"/>
      <c r="P111" s="2"/>
      <c r="Q111" s="2"/>
      <c r="R111" s="2"/>
    </row>
    <row r="112" spans="2:23" ht="16.5" thickBot="1" x14ac:dyDescent="0.3">
      <c r="J112" s="141" t="s">
        <v>242</v>
      </c>
    </row>
    <row r="113" spans="2:18" ht="16.5" thickBot="1" x14ac:dyDescent="0.25">
      <c r="B113" s="25" t="s">
        <v>209</v>
      </c>
      <c r="C113" s="236" t="s">
        <v>55</v>
      </c>
      <c r="D113" s="237"/>
      <c r="E113" s="237"/>
      <c r="F113" s="237"/>
      <c r="G113" s="237"/>
      <c r="H113" s="237"/>
      <c r="I113" s="237"/>
      <c r="J113" s="49"/>
      <c r="K113" s="30"/>
      <c r="L113" s="2"/>
      <c r="M113" s="2"/>
      <c r="N113" s="2"/>
      <c r="O113" s="2"/>
      <c r="P113" s="2"/>
      <c r="Q113" s="2"/>
      <c r="R113" s="2"/>
    </row>
    <row r="114" spans="2:18" ht="16.5" thickBot="1" x14ac:dyDescent="0.25">
      <c r="B114" s="25" t="s">
        <v>209</v>
      </c>
      <c r="C114" s="238" t="s">
        <v>56</v>
      </c>
      <c r="D114" s="239"/>
      <c r="E114" s="239"/>
      <c r="F114" s="239"/>
      <c r="G114" s="239"/>
      <c r="H114" s="239"/>
      <c r="I114" s="239"/>
      <c r="J114" s="168"/>
      <c r="K114" s="30"/>
      <c r="L114" s="2"/>
      <c r="M114" s="2"/>
      <c r="N114" s="2"/>
      <c r="O114" s="2"/>
      <c r="P114" s="2"/>
      <c r="Q114" s="2"/>
      <c r="R114" s="2"/>
    </row>
    <row r="115" spans="2:18" ht="30.75" thickBot="1" x14ac:dyDescent="0.25">
      <c r="B115" s="25" t="s">
        <v>205</v>
      </c>
      <c r="C115" s="249" t="s">
        <v>57</v>
      </c>
      <c r="D115" s="250"/>
      <c r="E115" s="250"/>
      <c r="F115" s="250"/>
      <c r="G115" s="250"/>
      <c r="H115" s="250"/>
      <c r="I115" s="250"/>
      <c r="J115" s="167"/>
      <c r="K115" s="30"/>
      <c r="L115" s="2"/>
      <c r="M115" s="2"/>
      <c r="N115" s="2"/>
      <c r="O115" s="2"/>
      <c r="P115" s="2"/>
      <c r="Q115" s="2"/>
      <c r="R115" s="2"/>
    </row>
    <row r="116" spans="2:18" s="30" customFormat="1" ht="10.15" customHeight="1" x14ac:dyDescent="0.25">
      <c r="B116" s="34"/>
      <c r="C116" s="59"/>
      <c r="D116" s="59"/>
      <c r="E116" s="59"/>
      <c r="F116" s="59"/>
      <c r="G116" s="59"/>
      <c r="H116" s="59"/>
      <c r="I116" s="60"/>
      <c r="J116" s="37"/>
      <c r="K116" s="28"/>
      <c r="L116" s="28"/>
      <c r="M116" s="28"/>
      <c r="N116" s="28"/>
      <c r="O116" s="28"/>
      <c r="P116" s="28"/>
      <c r="Q116" s="28"/>
      <c r="R116" s="28"/>
    </row>
    <row r="117" spans="2:18" ht="33.75" thickBot="1" x14ac:dyDescent="0.3">
      <c r="B117" s="22" t="s">
        <v>205</v>
      </c>
      <c r="C117" s="256" t="s">
        <v>58</v>
      </c>
      <c r="D117" s="256"/>
      <c r="E117" s="256"/>
      <c r="F117" s="256"/>
      <c r="G117" s="256"/>
      <c r="H117" s="256"/>
      <c r="I117" s="256"/>
      <c r="J117" s="256"/>
    </row>
    <row r="118" spans="2:18" ht="16.149999999999999" customHeight="1" thickBot="1" x14ac:dyDescent="0.25">
      <c r="B118" s="25"/>
      <c r="C118" s="103"/>
      <c r="D118" s="290" t="s">
        <v>45</v>
      </c>
      <c r="E118" s="291"/>
      <c r="F118" s="318"/>
      <c r="G118" s="171" t="s">
        <v>242</v>
      </c>
      <c r="H118" s="2"/>
      <c r="I118" s="2"/>
      <c r="J118" s="2"/>
      <c r="K118" s="30"/>
      <c r="L118" s="2"/>
      <c r="M118" s="2"/>
      <c r="N118" s="2"/>
      <c r="O118" s="2"/>
      <c r="P118" s="2"/>
      <c r="Q118" s="2"/>
      <c r="R118" s="2"/>
    </row>
    <row r="119" spans="2:18" ht="15" thickBot="1" x14ac:dyDescent="0.25">
      <c r="B119" s="25"/>
      <c r="C119" s="103"/>
      <c r="D119" s="172" t="s">
        <v>59</v>
      </c>
      <c r="E119" s="11"/>
      <c r="F119" s="173"/>
      <c r="G119" s="51"/>
      <c r="H119" s="2"/>
      <c r="I119" s="2"/>
      <c r="J119" s="2"/>
      <c r="K119" s="30"/>
      <c r="L119" s="2"/>
      <c r="M119" s="2"/>
      <c r="N119" s="2"/>
      <c r="O119" s="2"/>
      <c r="P119" s="2"/>
      <c r="Q119" s="2"/>
      <c r="R119" s="2"/>
    </row>
    <row r="120" spans="2:18" ht="15" thickBot="1" x14ac:dyDescent="0.25">
      <c r="B120" s="25"/>
      <c r="C120" s="103"/>
      <c r="D120" s="172" t="s">
        <v>60</v>
      </c>
      <c r="E120" s="11"/>
      <c r="F120" s="173"/>
      <c r="G120" s="49"/>
      <c r="H120" s="2"/>
      <c r="I120" s="2"/>
      <c r="J120" s="2"/>
      <c r="K120" s="30"/>
      <c r="L120" s="2"/>
      <c r="M120" s="2"/>
      <c r="N120" s="2"/>
      <c r="O120" s="2"/>
      <c r="P120" s="2"/>
      <c r="Q120" s="2"/>
      <c r="R120" s="2"/>
    </row>
    <row r="121" spans="2:18" ht="15" thickBot="1" x14ac:dyDescent="0.25">
      <c r="B121" s="25"/>
      <c r="C121" s="103"/>
      <c r="D121" s="174" t="s">
        <v>61</v>
      </c>
      <c r="E121" s="157"/>
      <c r="F121" s="175"/>
      <c r="G121" s="48"/>
      <c r="H121" s="2"/>
      <c r="I121" s="2"/>
      <c r="J121" s="2"/>
      <c r="K121" s="30"/>
      <c r="L121" s="2"/>
      <c r="M121" s="2"/>
      <c r="N121" s="2"/>
      <c r="O121" s="2"/>
      <c r="P121" s="2"/>
      <c r="Q121" s="2"/>
      <c r="R121" s="2"/>
    </row>
    <row r="122" spans="2:18" ht="16.5" thickBot="1" x14ac:dyDescent="0.3">
      <c r="J122" s="141" t="s">
        <v>242</v>
      </c>
    </row>
    <row r="123" spans="2:18" ht="30.75" thickBot="1" x14ac:dyDescent="0.25">
      <c r="B123" s="25" t="s">
        <v>205</v>
      </c>
      <c r="C123" s="257" t="s">
        <v>62</v>
      </c>
      <c r="D123" s="258"/>
      <c r="E123" s="258"/>
      <c r="F123" s="258"/>
      <c r="G123" s="258"/>
      <c r="H123" s="258"/>
      <c r="I123" s="259"/>
      <c r="J123" s="48"/>
      <c r="K123" s="30"/>
      <c r="L123" s="2"/>
      <c r="M123" s="2"/>
      <c r="N123" s="2"/>
      <c r="O123" s="2"/>
      <c r="P123" s="2"/>
      <c r="Q123" s="2"/>
      <c r="R123" s="2"/>
    </row>
    <row r="124" spans="2:18" ht="45" thickBot="1" x14ac:dyDescent="0.25">
      <c r="B124" s="25" t="s">
        <v>211</v>
      </c>
      <c r="C124" s="246" t="s">
        <v>63</v>
      </c>
      <c r="D124" s="247"/>
      <c r="E124" s="247"/>
      <c r="F124" s="247"/>
      <c r="G124" s="247"/>
      <c r="H124" s="247"/>
      <c r="I124" s="248"/>
      <c r="J124" s="49"/>
      <c r="K124" s="30"/>
      <c r="L124" s="2"/>
      <c r="M124" s="2"/>
      <c r="N124" s="2"/>
      <c r="O124" s="2"/>
      <c r="P124" s="2"/>
      <c r="Q124" s="2"/>
      <c r="R124" s="2"/>
    </row>
    <row r="125" spans="2:18" ht="45" thickBot="1" x14ac:dyDescent="0.25">
      <c r="B125" s="25" t="s">
        <v>211</v>
      </c>
      <c r="C125" s="246" t="s">
        <v>224</v>
      </c>
      <c r="D125" s="247"/>
      <c r="E125" s="247"/>
      <c r="F125" s="247"/>
      <c r="G125" s="247"/>
      <c r="H125" s="247"/>
      <c r="I125" s="248"/>
      <c r="J125" s="48"/>
      <c r="K125" s="30"/>
      <c r="L125" s="2"/>
      <c r="M125" s="2"/>
      <c r="N125" s="2"/>
      <c r="O125" s="2"/>
      <c r="P125" s="2"/>
      <c r="Q125" s="2"/>
      <c r="R125" s="2"/>
    </row>
    <row r="126" spans="2:18" ht="16.5" thickBot="1" x14ac:dyDescent="0.25">
      <c r="B126" s="25" t="s">
        <v>209</v>
      </c>
      <c r="C126" s="246" t="s">
        <v>64</v>
      </c>
      <c r="D126" s="247"/>
      <c r="E126" s="247"/>
      <c r="F126" s="247"/>
      <c r="G126" s="247"/>
      <c r="H126" s="247"/>
      <c r="I126" s="248"/>
      <c r="J126" s="201" t="s">
        <v>286</v>
      </c>
      <c r="K126" s="30"/>
      <c r="L126" s="2"/>
      <c r="M126" s="2"/>
      <c r="N126" s="2"/>
      <c r="O126" s="2"/>
      <c r="P126" s="2"/>
      <c r="Q126" s="2"/>
      <c r="R126" s="2"/>
    </row>
    <row r="127" spans="2:18" ht="16.5" thickBot="1" x14ac:dyDescent="0.25">
      <c r="B127" s="25" t="s">
        <v>209</v>
      </c>
      <c r="C127" s="246" t="s">
        <v>65</v>
      </c>
      <c r="D127" s="247"/>
      <c r="E127" s="247"/>
      <c r="F127" s="247"/>
      <c r="G127" s="247"/>
      <c r="H127" s="247"/>
      <c r="I127" s="248"/>
      <c r="J127" s="48"/>
      <c r="K127" s="30"/>
      <c r="L127" s="2"/>
      <c r="M127" s="2"/>
      <c r="N127" s="2"/>
      <c r="O127" s="2"/>
      <c r="P127" s="2"/>
      <c r="Q127" s="2"/>
      <c r="R127" s="2"/>
    </row>
    <row r="128" spans="2:18" ht="30.75" thickBot="1" x14ac:dyDescent="0.25">
      <c r="B128" s="25" t="s">
        <v>205</v>
      </c>
      <c r="C128" s="249" t="s">
        <v>66</v>
      </c>
      <c r="D128" s="250"/>
      <c r="E128" s="250"/>
      <c r="F128" s="250"/>
      <c r="G128" s="250"/>
      <c r="H128" s="250"/>
      <c r="I128" s="251"/>
      <c r="J128" s="49"/>
      <c r="K128" s="30"/>
      <c r="L128" s="2"/>
      <c r="M128" s="2"/>
      <c r="N128" s="2"/>
      <c r="O128" s="2"/>
      <c r="P128" s="2"/>
      <c r="Q128" s="2"/>
      <c r="R128" s="2"/>
    </row>
    <row r="129" spans="2:18" ht="29.45" customHeight="1" thickBot="1" x14ac:dyDescent="0.25">
      <c r="B129" s="25" t="s">
        <v>205</v>
      </c>
      <c r="C129" s="252" t="s">
        <v>67</v>
      </c>
      <c r="D129" s="226"/>
      <c r="E129" s="226"/>
      <c r="F129" s="226"/>
      <c r="G129" s="226"/>
      <c r="H129" s="253" t="s">
        <v>225</v>
      </c>
      <c r="I129" s="254"/>
      <c r="J129" s="255"/>
      <c r="K129" s="30"/>
      <c r="L129" s="2"/>
      <c r="M129" s="2"/>
      <c r="N129" s="2"/>
      <c r="O129" s="2"/>
      <c r="P129" s="2"/>
      <c r="Q129" s="2"/>
      <c r="R129" s="2"/>
    </row>
    <row r="130" spans="2:18" s="53" customFormat="1" ht="9.6" customHeight="1" thickBot="1" x14ac:dyDescent="0.25">
      <c r="B130" s="176"/>
      <c r="C130" s="177"/>
      <c r="J130" s="178"/>
    </row>
    <row r="131" spans="2:18" ht="30.75" thickBot="1" x14ac:dyDescent="0.25">
      <c r="B131" s="25" t="s">
        <v>205</v>
      </c>
      <c r="C131" s="246" t="s">
        <v>68</v>
      </c>
      <c r="D131" s="247"/>
      <c r="E131" s="247"/>
      <c r="F131" s="247"/>
      <c r="G131" s="247"/>
      <c r="H131" s="247"/>
      <c r="I131" s="248"/>
      <c r="J131" s="49"/>
      <c r="K131" s="30"/>
      <c r="L131" s="2"/>
      <c r="M131" s="2"/>
      <c r="N131" s="2"/>
      <c r="O131" s="2"/>
      <c r="P131" s="2"/>
      <c r="Q131" s="2"/>
      <c r="R131" s="2"/>
    </row>
    <row r="132" spans="2:18" ht="30.75" thickBot="1" x14ac:dyDescent="0.25">
      <c r="B132" s="25" t="s">
        <v>205</v>
      </c>
      <c r="C132" s="249" t="s">
        <v>69</v>
      </c>
      <c r="D132" s="250"/>
      <c r="E132" s="250"/>
      <c r="F132" s="250"/>
      <c r="G132" s="250"/>
      <c r="H132" s="250"/>
      <c r="I132" s="251"/>
      <c r="J132" s="48"/>
      <c r="K132" s="30"/>
      <c r="L132" s="2"/>
      <c r="M132" s="2"/>
      <c r="N132" s="2"/>
      <c r="O132" s="2"/>
      <c r="P132" s="2"/>
      <c r="Q132" s="2"/>
      <c r="R132" s="2"/>
    </row>
    <row r="133" spans="2:18" s="30" customFormat="1" ht="7.9" customHeight="1" x14ac:dyDescent="0.2">
      <c r="B133" s="55"/>
      <c r="C133" s="102"/>
      <c r="D133" s="56"/>
      <c r="E133" s="56"/>
      <c r="F133" s="56"/>
      <c r="G133" s="56"/>
      <c r="H133" s="56"/>
      <c r="I133" s="57"/>
      <c r="J133" s="53"/>
    </row>
    <row r="134" spans="2:18" ht="15.75" x14ac:dyDescent="0.25">
      <c r="C134" s="95" t="s">
        <v>54</v>
      </c>
    </row>
    <row r="135" spans="2:18" ht="16.5" thickBot="1" x14ac:dyDescent="0.3">
      <c r="C135" s="95" t="s">
        <v>70</v>
      </c>
    </row>
    <row r="136" spans="2:18" ht="16.5" thickBot="1" x14ac:dyDescent="0.3">
      <c r="C136" s="103"/>
      <c r="D136" s="319" t="s">
        <v>45</v>
      </c>
      <c r="E136" s="320"/>
      <c r="F136" s="321"/>
      <c r="G136" s="8" t="s">
        <v>242</v>
      </c>
    </row>
    <row r="137" spans="2:18" ht="15" thickBot="1" x14ac:dyDescent="0.25">
      <c r="B137" s="25"/>
      <c r="C137" s="103"/>
      <c r="D137" s="179" t="s">
        <v>71</v>
      </c>
      <c r="E137" s="11"/>
      <c r="F137" s="11"/>
      <c r="G137" s="48"/>
      <c r="H137" s="2"/>
      <c r="I137" s="2"/>
      <c r="J137" s="2"/>
      <c r="K137" s="30"/>
      <c r="L137" s="2"/>
      <c r="M137" s="2"/>
      <c r="N137" s="2"/>
      <c r="O137" s="2"/>
      <c r="P137" s="2"/>
      <c r="Q137" s="2"/>
      <c r="R137" s="2"/>
    </row>
    <row r="138" spans="2:18" ht="15" thickBot="1" x14ac:dyDescent="0.25">
      <c r="B138" s="25"/>
      <c r="C138" s="103"/>
      <c r="D138" s="179" t="s">
        <v>72</v>
      </c>
      <c r="E138" s="11"/>
      <c r="F138" s="11"/>
      <c r="G138" s="49"/>
      <c r="H138" s="2"/>
      <c r="I138" s="2"/>
      <c r="J138" s="2"/>
      <c r="K138" s="30"/>
      <c r="L138" s="2"/>
      <c r="M138" s="2"/>
      <c r="N138" s="2"/>
      <c r="O138" s="2"/>
      <c r="P138" s="2"/>
      <c r="Q138" s="2"/>
      <c r="R138" s="2"/>
    </row>
    <row r="139" spans="2:18" ht="15" thickBot="1" x14ac:dyDescent="0.25">
      <c r="B139" s="25"/>
      <c r="C139" s="103"/>
      <c r="D139" s="179" t="s">
        <v>73</v>
      </c>
      <c r="E139" s="11"/>
      <c r="F139" s="11"/>
      <c r="G139" s="48"/>
      <c r="H139" s="2"/>
      <c r="I139" s="2"/>
      <c r="J139" s="2"/>
      <c r="K139" s="30"/>
      <c r="L139" s="2"/>
      <c r="M139" s="2"/>
      <c r="N139" s="2"/>
      <c r="O139" s="2"/>
      <c r="P139" s="2"/>
      <c r="Q139" s="2"/>
      <c r="R139" s="2"/>
    </row>
    <row r="140" spans="2:18" ht="15" thickBot="1" x14ac:dyDescent="0.25">
      <c r="B140" s="25"/>
      <c r="C140" s="103"/>
      <c r="D140" s="179" t="s">
        <v>74</v>
      </c>
      <c r="E140" s="11"/>
      <c r="F140" s="11"/>
      <c r="G140" s="49"/>
      <c r="H140" s="2"/>
      <c r="I140" s="2"/>
      <c r="J140" s="2"/>
      <c r="K140" s="30"/>
      <c r="L140" s="2"/>
      <c r="M140" s="2"/>
      <c r="N140" s="2"/>
      <c r="O140" s="2"/>
      <c r="P140" s="2"/>
      <c r="Q140" s="2"/>
      <c r="R140" s="2"/>
    </row>
    <row r="141" spans="2:18" ht="15" thickBot="1" x14ac:dyDescent="0.25">
      <c r="B141" s="25"/>
      <c r="C141" s="103"/>
      <c r="D141" s="179" t="s">
        <v>75</v>
      </c>
      <c r="E141" s="11"/>
      <c r="F141" s="11"/>
      <c r="G141" s="48"/>
      <c r="H141" s="2"/>
      <c r="I141" s="2"/>
      <c r="J141" s="2"/>
      <c r="K141" s="30"/>
      <c r="L141" s="2"/>
      <c r="M141" s="2"/>
      <c r="N141" s="2"/>
      <c r="O141" s="2"/>
      <c r="P141" s="2"/>
      <c r="Q141" s="2"/>
      <c r="R141" s="2"/>
    </row>
    <row r="142" spans="2:18" ht="15" thickBot="1" x14ac:dyDescent="0.25">
      <c r="B142" s="25"/>
      <c r="C142" s="103"/>
      <c r="D142" s="179" t="s">
        <v>76</v>
      </c>
      <c r="E142" s="11"/>
      <c r="F142" s="11"/>
      <c r="G142" s="49"/>
      <c r="H142" s="2"/>
      <c r="I142" s="2"/>
      <c r="J142" s="2"/>
      <c r="K142" s="30"/>
      <c r="L142" s="2"/>
      <c r="M142" s="2"/>
      <c r="N142" s="2"/>
      <c r="O142" s="2"/>
      <c r="P142" s="2"/>
      <c r="Q142" s="2"/>
      <c r="R142" s="2"/>
    </row>
    <row r="143" spans="2:18" ht="15" thickBot="1" x14ac:dyDescent="0.25">
      <c r="B143" s="25"/>
      <c r="C143" s="103"/>
      <c r="D143" s="180" t="s">
        <v>54</v>
      </c>
      <c r="E143" s="157"/>
      <c r="F143" s="157"/>
      <c r="G143" s="48"/>
      <c r="H143" s="2"/>
      <c r="I143" s="2"/>
      <c r="J143" s="2"/>
      <c r="K143" s="30"/>
      <c r="L143" s="2"/>
      <c r="M143" s="2"/>
      <c r="N143" s="2"/>
      <c r="O143" s="2"/>
      <c r="P143" s="2"/>
      <c r="Q143" s="2"/>
      <c r="R143" s="2"/>
    </row>
    <row r="144" spans="2:18" ht="16.5" thickBot="1" x14ac:dyDescent="0.3">
      <c r="J144" s="5" t="s">
        <v>242</v>
      </c>
    </row>
    <row r="145" spans="2:18" ht="30.75" thickBot="1" x14ac:dyDescent="0.25">
      <c r="B145" s="25" t="s">
        <v>205</v>
      </c>
      <c r="C145" s="257" t="s">
        <v>77</v>
      </c>
      <c r="D145" s="258"/>
      <c r="E145" s="258"/>
      <c r="F145" s="258"/>
      <c r="G145" s="258"/>
      <c r="H145" s="258"/>
      <c r="I145" s="259"/>
      <c r="J145" s="49"/>
      <c r="K145" s="2"/>
      <c r="L145" s="2"/>
      <c r="M145" s="2"/>
      <c r="N145" s="2"/>
      <c r="O145" s="2"/>
      <c r="P145" s="2"/>
      <c r="Q145" s="2"/>
      <c r="R145" s="2"/>
    </row>
    <row r="146" spans="2:18" ht="30.75" thickBot="1" x14ac:dyDescent="0.25">
      <c r="B146" s="25" t="s">
        <v>205</v>
      </c>
      <c r="C146" s="246" t="s">
        <v>78</v>
      </c>
      <c r="D146" s="247"/>
      <c r="E146" s="247"/>
      <c r="F146" s="247"/>
      <c r="G146" s="247"/>
      <c r="H146" s="247"/>
      <c r="I146" s="248"/>
      <c r="J146" s="49"/>
      <c r="K146" s="2"/>
      <c r="L146" s="2"/>
      <c r="M146" s="2"/>
      <c r="N146" s="2"/>
      <c r="O146" s="2"/>
      <c r="P146" s="2"/>
      <c r="Q146" s="2"/>
      <c r="R146" s="2"/>
    </row>
    <row r="147" spans="2:18" ht="30.75" thickBot="1" x14ac:dyDescent="0.25">
      <c r="B147" s="25" t="s">
        <v>205</v>
      </c>
      <c r="C147" s="246" t="s">
        <v>79</v>
      </c>
      <c r="D147" s="247"/>
      <c r="E147" s="247"/>
      <c r="F147" s="247"/>
      <c r="G147" s="247"/>
      <c r="H147" s="247"/>
      <c r="I147" s="248"/>
      <c r="J147" s="49"/>
      <c r="K147" s="2"/>
      <c r="L147" s="2"/>
      <c r="M147" s="2"/>
      <c r="N147" s="2"/>
      <c r="O147" s="2"/>
      <c r="P147" s="2"/>
      <c r="Q147" s="2"/>
      <c r="R147" s="2"/>
    </row>
    <row r="148" spans="2:18" ht="30.75" thickBot="1" x14ac:dyDescent="0.25">
      <c r="B148" s="25" t="s">
        <v>205</v>
      </c>
      <c r="C148" s="249" t="s">
        <v>80</v>
      </c>
      <c r="D148" s="250"/>
      <c r="E148" s="250"/>
      <c r="F148" s="250"/>
      <c r="G148" s="250"/>
      <c r="H148" s="250"/>
      <c r="I148" s="251"/>
      <c r="J148" s="49"/>
      <c r="K148" s="2"/>
      <c r="L148" s="2"/>
      <c r="M148" s="2"/>
      <c r="N148" s="2"/>
      <c r="O148" s="2"/>
      <c r="P148" s="2"/>
      <c r="Q148" s="2"/>
      <c r="R148" s="2"/>
    </row>
    <row r="149" spans="2:18" s="28" customFormat="1" ht="7.15" customHeight="1" x14ac:dyDescent="0.25">
      <c r="B149" s="34"/>
      <c r="C149" s="104"/>
      <c r="D149" s="59"/>
      <c r="E149" s="59"/>
      <c r="F149" s="59"/>
      <c r="G149" s="59"/>
      <c r="H149" s="59"/>
      <c r="I149" s="60"/>
      <c r="J149" s="19"/>
    </row>
    <row r="150" spans="2:18" s="1" customFormat="1" ht="33" x14ac:dyDescent="0.25">
      <c r="B150" s="22" t="s">
        <v>205</v>
      </c>
      <c r="C150" s="206" t="s">
        <v>171</v>
      </c>
      <c r="D150" s="206"/>
      <c r="E150" s="206"/>
      <c r="F150" s="206"/>
      <c r="G150" s="206"/>
      <c r="H150" s="206"/>
      <c r="I150" s="206"/>
      <c r="J150" s="206"/>
    </row>
    <row r="151" spans="2:18" s="1" customFormat="1" ht="10.15" customHeight="1" thickBot="1" x14ac:dyDescent="0.3">
      <c r="B151" s="22"/>
      <c r="C151" s="105"/>
      <c r="D151" s="65"/>
      <c r="E151" s="65"/>
      <c r="F151" s="65"/>
      <c r="G151" s="65"/>
      <c r="H151" s="65"/>
      <c r="I151" s="65"/>
      <c r="J151" s="65"/>
    </row>
    <row r="152" spans="2:18" s="63" customFormat="1" ht="39" thickBot="1" x14ac:dyDescent="0.3">
      <c r="B152" s="62"/>
      <c r="C152" s="106" t="s">
        <v>226</v>
      </c>
      <c r="D152" s="263" t="s">
        <v>81</v>
      </c>
      <c r="E152" s="263"/>
      <c r="F152" s="263"/>
      <c r="G152" s="263"/>
      <c r="H152" s="263"/>
      <c r="I152" s="67" t="s">
        <v>82</v>
      </c>
      <c r="J152" s="67" t="s">
        <v>83</v>
      </c>
      <c r="K152" s="64"/>
      <c r="L152" s="64"/>
      <c r="M152" s="64"/>
      <c r="N152" s="64"/>
      <c r="O152" s="64"/>
      <c r="P152" s="64"/>
      <c r="Q152" s="64"/>
      <c r="R152" s="64"/>
    </row>
    <row r="153" spans="2:18" s="53" customFormat="1" ht="15.75" x14ac:dyDescent="0.25">
      <c r="B153" s="52"/>
      <c r="C153" s="107">
        <v>602</v>
      </c>
      <c r="D153" s="260" t="s">
        <v>227</v>
      </c>
      <c r="E153" s="260"/>
      <c r="F153" s="260"/>
      <c r="G153" s="260"/>
      <c r="H153" s="260"/>
      <c r="I153" s="47"/>
      <c r="J153" s="47"/>
      <c r="K153" s="19"/>
      <c r="L153" s="19"/>
      <c r="M153" s="19"/>
      <c r="N153" s="19"/>
      <c r="O153" s="19"/>
      <c r="P153" s="19"/>
      <c r="Q153" s="19"/>
      <c r="R153" s="19"/>
    </row>
    <row r="154" spans="2:18" s="53" customFormat="1" ht="16.149999999999999" customHeight="1" x14ac:dyDescent="0.25">
      <c r="B154" s="52"/>
      <c r="C154" s="108">
        <v>662</v>
      </c>
      <c r="D154" s="261" t="s">
        <v>228</v>
      </c>
      <c r="E154" s="261"/>
      <c r="F154" s="261"/>
      <c r="G154" s="261"/>
      <c r="H154" s="261"/>
      <c r="I154" s="70"/>
      <c r="J154" s="70"/>
      <c r="K154" s="19"/>
      <c r="L154" s="19"/>
      <c r="M154" s="19"/>
      <c r="N154" s="19"/>
      <c r="O154" s="19"/>
      <c r="P154" s="19"/>
      <c r="Q154" s="19"/>
      <c r="R154" s="19"/>
    </row>
    <row r="155" spans="2:18" s="53" customFormat="1" ht="15.75" x14ac:dyDescent="0.25">
      <c r="B155" s="52"/>
      <c r="C155" s="107">
        <v>611</v>
      </c>
      <c r="D155" s="260" t="s">
        <v>229</v>
      </c>
      <c r="E155" s="260"/>
      <c r="F155" s="260"/>
      <c r="G155" s="260"/>
      <c r="H155" s="260"/>
      <c r="I155" s="47"/>
      <c r="J155" s="47"/>
      <c r="K155" s="19"/>
      <c r="L155" s="19"/>
      <c r="M155" s="19"/>
      <c r="N155" s="19"/>
      <c r="O155" s="19"/>
      <c r="P155" s="19"/>
      <c r="Q155" s="19"/>
      <c r="R155" s="19"/>
    </row>
    <row r="156" spans="2:18" s="53" customFormat="1" ht="15.75" x14ac:dyDescent="0.25">
      <c r="B156" s="52"/>
      <c r="C156" s="108">
        <v>601</v>
      </c>
      <c r="D156" s="261" t="s">
        <v>230</v>
      </c>
      <c r="E156" s="261"/>
      <c r="F156" s="261"/>
      <c r="G156" s="261"/>
      <c r="H156" s="261"/>
      <c r="I156" s="70"/>
      <c r="J156" s="70"/>
      <c r="K156" s="19"/>
      <c r="L156" s="19"/>
      <c r="M156" s="19"/>
      <c r="N156" s="19"/>
      <c r="O156" s="19"/>
      <c r="P156" s="19"/>
      <c r="Q156" s="19"/>
      <c r="R156" s="19"/>
    </row>
    <row r="157" spans="2:18" s="53" customFormat="1" ht="15.75" x14ac:dyDescent="0.25">
      <c r="B157" s="52"/>
      <c r="C157" s="107">
        <v>635</v>
      </c>
      <c r="D157" s="260" t="s">
        <v>231</v>
      </c>
      <c r="E157" s="260"/>
      <c r="F157" s="260"/>
      <c r="G157" s="260"/>
      <c r="H157" s="260"/>
      <c r="I157" s="47"/>
      <c r="J157" s="47"/>
      <c r="K157" s="19"/>
      <c r="L157" s="19"/>
      <c r="M157" s="19"/>
      <c r="N157" s="19"/>
      <c r="O157" s="19"/>
      <c r="P157" s="19"/>
      <c r="Q157" s="19"/>
      <c r="R157" s="19"/>
    </row>
    <row r="158" spans="2:18" s="53" customFormat="1" ht="15.75" x14ac:dyDescent="0.25">
      <c r="B158" s="52"/>
      <c r="C158" s="108">
        <v>653</v>
      </c>
      <c r="D158" s="261" t="s">
        <v>232</v>
      </c>
      <c r="E158" s="261"/>
      <c r="F158" s="261"/>
      <c r="G158" s="261"/>
      <c r="H158" s="261"/>
      <c r="I158" s="70"/>
      <c r="J158" s="70"/>
      <c r="K158" s="19"/>
      <c r="L158" s="19"/>
      <c r="M158" s="19"/>
      <c r="N158" s="19"/>
      <c r="O158" s="19"/>
      <c r="P158" s="19"/>
      <c r="Q158" s="19"/>
      <c r="R158" s="19"/>
    </row>
    <row r="159" spans="2:18" s="53" customFormat="1" ht="15.75" x14ac:dyDescent="0.25">
      <c r="B159" s="52"/>
      <c r="C159" s="107">
        <v>629</v>
      </c>
      <c r="D159" s="260" t="s">
        <v>233</v>
      </c>
      <c r="E159" s="260"/>
      <c r="F159" s="260"/>
      <c r="G159" s="260"/>
      <c r="H159" s="260"/>
      <c r="I159" s="47"/>
      <c r="J159" s="47"/>
      <c r="K159" s="19"/>
      <c r="L159" s="19"/>
      <c r="M159" s="19"/>
      <c r="N159" s="19"/>
      <c r="O159" s="19"/>
      <c r="P159" s="19"/>
      <c r="Q159" s="19"/>
      <c r="R159" s="19"/>
    </row>
    <row r="160" spans="2:18" s="53" customFormat="1" ht="15.75" x14ac:dyDescent="0.25">
      <c r="B160" s="52"/>
      <c r="C160" s="108">
        <v>621</v>
      </c>
      <c r="D160" s="261" t="s">
        <v>234</v>
      </c>
      <c r="E160" s="261"/>
      <c r="F160" s="261"/>
      <c r="G160" s="261"/>
      <c r="H160" s="261"/>
      <c r="I160" s="70"/>
      <c r="J160" s="70"/>
      <c r="K160" s="19"/>
      <c r="L160" s="19"/>
      <c r="M160" s="19"/>
      <c r="N160" s="19"/>
      <c r="O160" s="19"/>
      <c r="P160" s="19"/>
      <c r="Q160" s="19"/>
      <c r="R160" s="19"/>
    </row>
    <row r="161" spans="2:18" s="53" customFormat="1" ht="15.75" x14ac:dyDescent="0.25">
      <c r="B161" s="52"/>
      <c r="C161" s="107">
        <v>654</v>
      </c>
      <c r="D161" s="260" t="s">
        <v>235</v>
      </c>
      <c r="E161" s="260"/>
      <c r="F161" s="260"/>
      <c r="G161" s="260"/>
      <c r="H161" s="260"/>
      <c r="I161" s="47"/>
      <c r="J161" s="47"/>
      <c r="K161" s="19"/>
      <c r="L161" s="19"/>
      <c r="M161" s="19"/>
      <c r="N161" s="19"/>
      <c r="O161" s="19"/>
      <c r="P161" s="19"/>
      <c r="Q161" s="19"/>
      <c r="R161" s="19"/>
    </row>
    <row r="162" spans="2:18" s="53" customFormat="1" ht="15.75" x14ac:dyDescent="0.25">
      <c r="B162" s="52"/>
      <c r="C162" s="108">
        <v>655</v>
      </c>
      <c r="D162" s="261" t="s">
        <v>236</v>
      </c>
      <c r="E162" s="261"/>
      <c r="F162" s="261"/>
      <c r="G162" s="261"/>
      <c r="H162" s="261"/>
      <c r="I162" s="70"/>
      <c r="J162" s="70"/>
      <c r="K162" s="19"/>
      <c r="L162" s="19"/>
      <c r="M162" s="19"/>
      <c r="N162" s="19"/>
      <c r="O162" s="19"/>
      <c r="P162" s="19"/>
      <c r="Q162" s="19"/>
      <c r="R162" s="19"/>
    </row>
    <row r="163" spans="2:18" s="53" customFormat="1" ht="15.75" x14ac:dyDescent="0.25">
      <c r="B163" s="52"/>
      <c r="C163" s="107">
        <v>641</v>
      </c>
      <c r="D163" s="260" t="s">
        <v>284</v>
      </c>
      <c r="E163" s="260"/>
      <c r="F163" s="260"/>
      <c r="G163" s="260"/>
      <c r="H163" s="260"/>
      <c r="I163" s="47"/>
      <c r="J163" s="47"/>
      <c r="K163" s="19"/>
      <c r="L163" s="19"/>
      <c r="M163" s="19"/>
      <c r="N163" s="19"/>
      <c r="O163" s="19"/>
      <c r="P163" s="19"/>
      <c r="Q163" s="19"/>
      <c r="R163" s="19"/>
    </row>
    <row r="164" spans="2:18" s="53" customFormat="1" ht="15.75" x14ac:dyDescent="0.25">
      <c r="B164" s="52"/>
      <c r="C164" s="108">
        <v>632</v>
      </c>
      <c r="D164" s="261" t="s">
        <v>283</v>
      </c>
      <c r="E164" s="261"/>
      <c r="F164" s="261"/>
      <c r="G164" s="261"/>
      <c r="H164" s="261"/>
      <c r="I164" s="70"/>
      <c r="J164" s="70"/>
      <c r="K164" s="19"/>
      <c r="L164" s="19"/>
      <c r="M164" s="19"/>
      <c r="N164" s="19"/>
      <c r="O164" s="19"/>
      <c r="P164" s="19"/>
      <c r="Q164" s="19"/>
      <c r="R164" s="19"/>
    </row>
    <row r="165" spans="2:18" s="53" customFormat="1" ht="15.75" x14ac:dyDescent="0.25">
      <c r="B165" s="52"/>
      <c r="C165" s="107">
        <v>634</v>
      </c>
      <c r="D165" s="260" t="s">
        <v>237</v>
      </c>
      <c r="E165" s="260"/>
      <c r="F165" s="260"/>
      <c r="G165" s="260"/>
      <c r="H165" s="260"/>
      <c r="I165" s="47"/>
      <c r="J165" s="47"/>
      <c r="K165" s="19"/>
      <c r="L165" s="19"/>
      <c r="M165" s="19"/>
      <c r="N165" s="19"/>
      <c r="O165" s="19"/>
      <c r="P165" s="19"/>
      <c r="Q165" s="19"/>
      <c r="R165" s="19"/>
    </row>
    <row r="166" spans="2:18" s="53" customFormat="1" ht="15.75" x14ac:dyDescent="0.25">
      <c r="B166" s="52"/>
      <c r="C166" s="108">
        <v>656</v>
      </c>
      <c r="D166" s="261" t="s">
        <v>238</v>
      </c>
      <c r="E166" s="261"/>
      <c r="F166" s="261"/>
      <c r="G166" s="261"/>
      <c r="H166" s="261"/>
      <c r="I166" s="70"/>
      <c r="J166" s="70"/>
      <c r="K166" s="19"/>
      <c r="L166" s="19"/>
      <c r="M166" s="19"/>
      <c r="N166" s="19"/>
      <c r="O166" s="19"/>
      <c r="P166" s="19"/>
      <c r="Q166" s="19"/>
      <c r="R166" s="19"/>
    </row>
    <row r="167" spans="2:18" s="53" customFormat="1" ht="15.75" x14ac:dyDescent="0.25">
      <c r="B167" s="52"/>
      <c r="C167" s="107">
        <v>633</v>
      </c>
      <c r="D167" s="68" t="s">
        <v>282</v>
      </c>
      <c r="E167" s="69"/>
      <c r="F167" s="69"/>
      <c r="G167" s="69"/>
      <c r="H167" s="69"/>
      <c r="I167" s="47"/>
      <c r="J167" s="47"/>
      <c r="K167" s="19"/>
      <c r="L167" s="19"/>
      <c r="M167" s="19"/>
      <c r="N167" s="19"/>
      <c r="O167" s="19"/>
      <c r="P167" s="19"/>
      <c r="Q167" s="19"/>
      <c r="R167" s="19"/>
    </row>
    <row r="168" spans="2:18" s="53" customFormat="1" ht="15.75" x14ac:dyDescent="0.25">
      <c r="B168" s="52"/>
      <c r="C168" s="108">
        <v>651</v>
      </c>
      <c r="D168" s="261" t="s">
        <v>239</v>
      </c>
      <c r="E168" s="261"/>
      <c r="F168" s="261"/>
      <c r="G168" s="261"/>
      <c r="H168" s="261"/>
      <c r="I168" s="70"/>
      <c r="J168" s="70"/>
      <c r="K168" s="19"/>
      <c r="L168" s="19"/>
      <c r="M168" s="19"/>
      <c r="N168" s="19"/>
      <c r="O168" s="19"/>
      <c r="P168" s="19"/>
      <c r="Q168" s="19"/>
      <c r="R168" s="19"/>
    </row>
    <row r="169" spans="2:18" s="53" customFormat="1" ht="16.149999999999999" customHeight="1" thickBot="1" x14ac:dyDescent="0.3">
      <c r="B169" s="52"/>
      <c r="C169" s="109">
        <v>661</v>
      </c>
      <c r="D169" s="262" t="s">
        <v>240</v>
      </c>
      <c r="E169" s="262"/>
      <c r="F169" s="262"/>
      <c r="G169" s="262"/>
      <c r="H169" s="262"/>
      <c r="I169" s="43"/>
      <c r="J169" s="43"/>
      <c r="K169" s="19"/>
      <c r="L169" s="19"/>
      <c r="M169" s="19"/>
      <c r="N169" s="19"/>
      <c r="O169" s="19"/>
      <c r="P169" s="19"/>
      <c r="Q169" s="19"/>
      <c r="R169" s="19"/>
    </row>
    <row r="170" spans="2:18" ht="7.9" customHeight="1" x14ac:dyDescent="0.25"/>
    <row r="171" spans="2:18" s="11" customFormat="1" ht="33.75" thickBot="1" x14ac:dyDescent="0.3">
      <c r="B171" s="61" t="s">
        <v>205</v>
      </c>
      <c r="C171" s="272" t="s">
        <v>84</v>
      </c>
      <c r="D171" s="272"/>
      <c r="E171" s="272"/>
      <c r="F171" s="272"/>
      <c r="G171" s="272"/>
      <c r="H171" s="272"/>
      <c r="I171" s="272"/>
      <c r="J171" s="272"/>
      <c r="K171" s="19"/>
      <c r="L171" s="15"/>
      <c r="M171" s="15"/>
      <c r="N171" s="15"/>
      <c r="O171" s="15"/>
      <c r="P171" s="15"/>
      <c r="Q171" s="15"/>
      <c r="R171" s="15"/>
    </row>
    <row r="172" spans="2:18" s="73" customFormat="1" ht="16.149999999999999" customHeight="1" thickBot="1" x14ac:dyDescent="0.3">
      <c r="B172" s="72"/>
      <c r="C172" s="110"/>
      <c r="D172" s="322" t="s">
        <v>107</v>
      </c>
      <c r="E172" s="323"/>
      <c r="F172" s="273" t="s">
        <v>292</v>
      </c>
      <c r="G172" s="274"/>
      <c r="H172" s="71"/>
      <c r="I172" s="71"/>
      <c r="J172" s="71"/>
      <c r="K172" s="71" t="s">
        <v>293</v>
      </c>
      <c r="L172" s="71"/>
      <c r="M172" s="71"/>
      <c r="N172" s="71"/>
      <c r="O172" s="71"/>
      <c r="P172" s="71"/>
      <c r="Q172" s="71"/>
      <c r="R172" s="71"/>
    </row>
    <row r="173" spans="2:18" s="73" customFormat="1" ht="16.149999999999999" customHeight="1" thickBot="1" x14ac:dyDescent="0.3">
      <c r="B173" s="72"/>
      <c r="C173" s="111"/>
      <c r="D173" s="322" t="s">
        <v>108</v>
      </c>
      <c r="E173" s="323"/>
      <c r="F173" s="279">
        <v>10000</v>
      </c>
      <c r="G173" s="280"/>
      <c r="H173" s="71"/>
      <c r="I173" s="71"/>
      <c r="J173" s="71"/>
      <c r="K173" s="71" t="s">
        <v>293</v>
      </c>
      <c r="L173" s="71"/>
      <c r="M173" s="71"/>
      <c r="N173" s="71"/>
      <c r="O173" s="71"/>
      <c r="P173" s="71"/>
      <c r="Q173" s="71"/>
      <c r="R173" s="71"/>
    </row>
    <row r="174" spans="2:18" s="53" customFormat="1" ht="8.4499999999999993" customHeight="1" x14ac:dyDescent="0.25">
      <c r="B174" s="52"/>
      <c r="C174" s="101"/>
      <c r="D174" s="19"/>
      <c r="E174" s="19"/>
      <c r="F174" s="19"/>
      <c r="G174" s="19"/>
      <c r="H174" s="19"/>
      <c r="I174" s="19"/>
      <c r="J174" s="19"/>
      <c r="K174" s="19"/>
      <c r="L174" s="19"/>
      <c r="M174" s="19"/>
      <c r="N174" s="19"/>
      <c r="O174" s="19"/>
      <c r="P174" s="19"/>
      <c r="Q174" s="19"/>
      <c r="R174" s="19"/>
    </row>
    <row r="175" spans="2:18" s="73" customFormat="1" ht="33" x14ac:dyDescent="0.25">
      <c r="B175" s="72" t="s">
        <v>205</v>
      </c>
      <c r="C175" s="111"/>
      <c r="D175" s="275" t="s">
        <v>241</v>
      </c>
      <c r="E175" s="275"/>
      <c r="F175" s="275"/>
      <c r="G175" s="275"/>
      <c r="H175" s="275"/>
      <c r="I175" s="275"/>
      <c r="J175" s="275"/>
      <c r="K175" s="71"/>
      <c r="L175" s="71"/>
      <c r="M175" s="71"/>
      <c r="N175" s="71"/>
      <c r="O175" s="71"/>
      <c r="P175" s="71"/>
      <c r="Q175" s="71"/>
      <c r="R175" s="71"/>
    </row>
    <row r="176" spans="2:18" ht="16.5" thickBot="1" x14ac:dyDescent="0.3">
      <c r="J176" s="5" t="s">
        <v>242</v>
      </c>
    </row>
    <row r="177" spans="2:18" ht="16.5" thickBot="1" x14ac:dyDescent="0.3">
      <c r="B177" s="25" t="s">
        <v>209</v>
      </c>
      <c r="C177" s="276" t="s">
        <v>85</v>
      </c>
      <c r="D177" s="277"/>
      <c r="E177" s="277"/>
      <c r="F177" s="277"/>
      <c r="G177" s="277"/>
      <c r="H177" s="277"/>
      <c r="I177" s="278"/>
      <c r="J177" s="17"/>
      <c r="K177" s="2"/>
    </row>
    <row r="178" spans="2:18" ht="59.25" thickBot="1" x14ac:dyDescent="0.3">
      <c r="B178" s="25" t="s">
        <v>148</v>
      </c>
      <c r="C178" s="264" t="s">
        <v>86</v>
      </c>
      <c r="D178" s="265"/>
      <c r="E178" s="265"/>
      <c r="F178" s="265"/>
      <c r="G178" s="265"/>
      <c r="H178" s="265"/>
      <c r="I178" s="266"/>
      <c r="J178" s="16"/>
      <c r="K178" s="2"/>
    </row>
    <row r="179" spans="2:18" ht="16.5" thickBot="1" x14ac:dyDescent="0.3">
      <c r="B179" s="25" t="s">
        <v>209</v>
      </c>
      <c r="C179" s="264" t="s">
        <v>87</v>
      </c>
      <c r="D179" s="265"/>
      <c r="E179" s="265"/>
      <c r="F179" s="265"/>
      <c r="G179" s="265"/>
      <c r="H179" s="265"/>
      <c r="I179" s="266"/>
      <c r="J179" s="17"/>
      <c r="K179" s="2"/>
    </row>
    <row r="180" spans="2:18" ht="45" thickBot="1" x14ac:dyDescent="0.3">
      <c r="B180" s="25" t="s">
        <v>211</v>
      </c>
      <c r="C180" s="264" t="s">
        <v>89</v>
      </c>
      <c r="D180" s="265"/>
      <c r="E180" s="265"/>
      <c r="F180" s="265"/>
      <c r="G180" s="265"/>
      <c r="H180" s="265"/>
      <c r="I180" s="266"/>
      <c r="J180" s="16"/>
      <c r="K180" s="2"/>
    </row>
    <row r="181" spans="2:18" ht="45" thickBot="1" x14ac:dyDescent="0.3">
      <c r="B181" s="25" t="s">
        <v>211</v>
      </c>
      <c r="C181" s="264" t="s">
        <v>90</v>
      </c>
      <c r="D181" s="265"/>
      <c r="E181" s="265"/>
      <c r="F181" s="265"/>
      <c r="G181" s="265"/>
      <c r="H181" s="265"/>
      <c r="I181" s="266"/>
      <c r="J181" s="202" t="s">
        <v>286</v>
      </c>
      <c r="K181" s="2"/>
    </row>
    <row r="182" spans="2:18" ht="45" thickBot="1" x14ac:dyDescent="0.3">
      <c r="B182" s="25" t="s">
        <v>211</v>
      </c>
      <c r="C182" s="267" t="s">
        <v>92</v>
      </c>
      <c r="D182" s="268"/>
      <c r="E182" s="268"/>
      <c r="F182" s="268"/>
      <c r="G182" s="268"/>
      <c r="H182" s="268"/>
      <c r="I182" s="269"/>
      <c r="J182" s="16"/>
      <c r="K182" s="2"/>
    </row>
    <row r="183" spans="2:18" s="30" customFormat="1" ht="12.6" customHeight="1" x14ac:dyDescent="0.25">
      <c r="B183" s="55"/>
      <c r="C183" s="112"/>
      <c r="D183" s="75"/>
      <c r="E183" s="75"/>
      <c r="F183" s="75"/>
      <c r="G183" s="75"/>
      <c r="H183" s="75"/>
      <c r="I183" s="76"/>
      <c r="J183" s="19"/>
      <c r="L183" s="28"/>
      <c r="M183" s="28"/>
      <c r="N183" s="28"/>
      <c r="O183" s="28"/>
      <c r="P183" s="28"/>
      <c r="Q183" s="28"/>
      <c r="R183" s="28"/>
    </row>
    <row r="184" spans="2:18" ht="16.5" thickBot="1" x14ac:dyDescent="0.3">
      <c r="C184" s="95" t="s">
        <v>93</v>
      </c>
    </row>
    <row r="185" spans="2:18" ht="33.75" thickBot="1" x14ac:dyDescent="0.3">
      <c r="B185" s="22" t="s">
        <v>205</v>
      </c>
      <c r="C185" s="270" t="s">
        <v>94</v>
      </c>
      <c r="D185" s="270"/>
      <c r="E185" s="270"/>
      <c r="F185" s="270"/>
      <c r="G185" s="270"/>
      <c r="H185" s="270"/>
      <c r="I185" s="271"/>
      <c r="J185" s="17"/>
      <c r="K185" s="2"/>
    </row>
    <row r="186" spans="2:18" ht="7.9" customHeight="1" x14ac:dyDescent="0.25">
      <c r="C186" s="92"/>
      <c r="J186" s="19"/>
      <c r="K186" s="2"/>
    </row>
    <row r="187" spans="2:18" ht="33" x14ac:dyDescent="0.25">
      <c r="B187" s="22" t="s">
        <v>205</v>
      </c>
      <c r="C187" s="206" t="s">
        <v>96</v>
      </c>
      <c r="D187" s="206"/>
      <c r="E187" s="206"/>
      <c r="F187" s="206"/>
      <c r="G187" s="206"/>
      <c r="H187" s="206"/>
      <c r="I187" s="206"/>
      <c r="J187" s="206"/>
    </row>
    <row r="188" spans="2:18" ht="9" customHeight="1" thickBot="1" x14ac:dyDescent="0.3">
      <c r="C188" s="105"/>
      <c r="D188" s="65"/>
      <c r="E188" s="65"/>
      <c r="F188" s="65"/>
      <c r="G188" s="65"/>
      <c r="H188" s="65"/>
      <c r="I188" s="65"/>
      <c r="J188" s="65"/>
    </row>
    <row r="189" spans="2:18" ht="15.6" customHeight="1" thickBot="1" x14ac:dyDescent="0.3">
      <c r="C189" s="103"/>
      <c r="D189" s="290" t="s">
        <v>45</v>
      </c>
      <c r="E189" s="291"/>
      <c r="F189" s="291"/>
      <c r="G189" s="291"/>
      <c r="H189" s="291"/>
      <c r="I189" s="291"/>
      <c r="J189" s="8" t="s">
        <v>242</v>
      </c>
    </row>
    <row r="190" spans="2:18" ht="44.25" x14ac:dyDescent="0.25">
      <c r="B190" s="25" t="s">
        <v>211</v>
      </c>
      <c r="C190" s="103"/>
      <c r="D190" s="281" t="s">
        <v>97</v>
      </c>
      <c r="E190" s="282"/>
      <c r="F190" s="282"/>
      <c r="G190" s="282"/>
      <c r="H190" s="282"/>
      <c r="I190" s="283"/>
      <c r="J190" s="79"/>
      <c r="K190" s="2"/>
    </row>
    <row r="191" spans="2:18" ht="30" x14ac:dyDescent="0.25">
      <c r="B191" s="25" t="s">
        <v>205</v>
      </c>
      <c r="C191" s="103"/>
      <c r="D191" s="284" t="s">
        <v>98</v>
      </c>
      <c r="E191" s="285"/>
      <c r="F191" s="285"/>
      <c r="G191" s="285"/>
      <c r="H191" s="285"/>
      <c r="I191" s="286"/>
      <c r="J191" s="77"/>
      <c r="K191" s="2"/>
    </row>
    <row r="192" spans="2:18" ht="16.149999999999999" customHeight="1" x14ac:dyDescent="0.25">
      <c r="B192" s="25" t="s">
        <v>209</v>
      </c>
      <c r="C192" s="103"/>
      <c r="D192" s="281" t="s">
        <v>99</v>
      </c>
      <c r="E192" s="282"/>
      <c r="F192" s="282"/>
      <c r="G192" s="282"/>
      <c r="H192" s="282"/>
      <c r="I192" s="283"/>
      <c r="J192" s="80"/>
      <c r="K192" s="2"/>
    </row>
    <row r="193" spans="2:18" ht="30" x14ac:dyDescent="0.25">
      <c r="B193" s="25" t="s">
        <v>205</v>
      </c>
      <c r="C193" s="103"/>
      <c r="D193" s="284" t="s">
        <v>100</v>
      </c>
      <c r="E193" s="285"/>
      <c r="F193" s="285"/>
      <c r="G193" s="285"/>
      <c r="H193" s="285"/>
      <c r="I193" s="286"/>
      <c r="J193" s="77"/>
      <c r="K193" s="2"/>
    </row>
    <row r="194" spans="2:18" ht="30" x14ac:dyDescent="0.25">
      <c r="B194" s="25" t="s">
        <v>205</v>
      </c>
      <c r="C194" s="103"/>
      <c r="D194" s="281" t="s">
        <v>101</v>
      </c>
      <c r="E194" s="282"/>
      <c r="F194" s="282"/>
      <c r="G194" s="282"/>
      <c r="H194" s="282"/>
      <c r="I194" s="283"/>
      <c r="J194" s="80"/>
      <c r="K194" s="2"/>
    </row>
    <row r="195" spans="2:18" ht="15.75" x14ac:dyDescent="0.25">
      <c r="B195" s="25" t="s">
        <v>209</v>
      </c>
      <c r="C195" s="103"/>
      <c r="D195" s="284" t="s">
        <v>102</v>
      </c>
      <c r="E195" s="285"/>
      <c r="F195" s="285"/>
      <c r="G195" s="285"/>
      <c r="H195" s="285"/>
      <c r="I195" s="286"/>
      <c r="J195" s="77"/>
      <c r="K195" s="2"/>
    </row>
    <row r="196" spans="2:18" ht="15.75" x14ac:dyDescent="0.25">
      <c r="B196" s="25" t="s">
        <v>209</v>
      </c>
      <c r="C196" s="103"/>
      <c r="D196" s="281" t="s">
        <v>103</v>
      </c>
      <c r="E196" s="282"/>
      <c r="F196" s="282"/>
      <c r="G196" s="282"/>
      <c r="H196" s="282"/>
      <c r="I196" s="283"/>
      <c r="J196" s="80"/>
      <c r="K196" s="2"/>
    </row>
    <row r="197" spans="2:18" ht="16.5" thickBot="1" x14ac:dyDescent="0.3">
      <c r="B197" s="25" t="s">
        <v>209</v>
      </c>
      <c r="C197" s="103"/>
      <c r="D197" s="287" t="s">
        <v>104</v>
      </c>
      <c r="E197" s="288"/>
      <c r="F197" s="288"/>
      <c r="G197" s="288"/>
      <c r="H197" s="288"/>
      <c r="I197" s="289"/>
      <c r="J197" s="78"/>
      <c r="K197" s="2"/>
    </row>
    <row r="198" spans="2:18" ht="16.5" thickBot="1" x14ac:dyDescent="0.3">
      <c r="B198" s="25"/>
      <c r="C198" s="103"/>
      <c r="D198" s="160"/>
      <c r="E198" s="160"/>
      <c r="F198" s="160"/>
      <c r="G198" s="160"/>
      <c r="H198" s="160"/>
      <c r="I198" s="160"/>
      <c r="J198" s="19"/>
      <c r="K198" s="2"/>
    </row>
    <row r="199" spans="2:18" ht="16.5" thickBot="1" x14ac:dyDescent="0.3">
      <c r="J199" s="141" t="s">
        <v>242</v>
      </c>
    </row>
    <row r="200" spans="2:18" ht="30" x14ac:dyDescent="0.2">
      <c r="B200" s="25" t="s">
        <v>205</v>
      </c>
      <c r="C200" s="257" t="s">
        <v>95</v>
      </c>
      <c r="D200" s="258"/>
      <c r="E200" s="258"/>
      <c r="F200" s="258"/>
      <c r="G200" s="258"/>
      <c r="H200" s="258"/>
      <c r="I200" s="258"/>
      <c r="J200" s="181"/>
      <c r="K200" s="2"/>
      <c r="L200" s="2"/>
      <c r="M200" s="2"/>
      <c r="N200" s="2"/>
      <c r="O200" s="2"/>
      <c r="P200" s="2"/>
      <c r="Q200" s="2"/>
      <c r="R200" s="2"/>
    </row>
    <row r="201" spans="2:18" ht="30" x14ac:dyDescent="0.2">
      <c r="B201" s="25" t="s">
        <v>205</v>
      </c>
      <c r="C201" s="246" t="s">
        <v>105</v>
      </c>
      <c r="D201" s="247"/>
      <c r="E201" s="247"/>
      <c r="F201" s="247"/>
      <c r="G201" s="247"/>
      <c r="H201" s="247"/>
      <c r="I201" s="247"/>
      <c r="J201" s="182"/>
      <c r="K201" s="2"/>
      <c r="L201" s="2"/>
      <c r="M201" s="2"/>
      <c r="N201" s="2"/>
      <c r="O201" s="2"/>
      <c r="P201" s="2"/>
      <c r="Q201" s="2"/>
      <c r="R201" s="2"/>
    </row>
    <row r="202" spans="2:18" ht="30" x14ac:dyDescent="0.2">
      <c r="B202" s="25" t="s">
        <v>205</v>
      </c>
      <c r="C202" s="246" t="s">
        <v>106</v>
      </c>
      <c r="D202" s="247"/>
      <c r="E202" s="247"/>
      <c r="F202" s="247"/>
      <c r="G202" s="247"/>
      <c r="H202" s="247"/>
      <c r="I202" s="247"/>
      <c r="J202" s="183"/>
      <c r="K202" s="2"/>
      <c r="L202" s="2"/>
      <c r="M202" s="2"/>
      <c r="N202" s="2"/>
      <c r="O202" s="2"/>
      <c r="P202" s="2"/>
      <c r="Q202" s="2"/>
      <c r="R202" s="2"/>
    </row>
    <row r="203" spans="2:18" ht="30.75" thickBot="1" x14ac:dyDescent="0.25">
      <c r="B203" s="25" t="s">
        <v>205</v>
      </c>
      <c r="C203" s="249" t="s">
        <v>109</v>
      </c>
      <c r="D203" s="250"/>
      <c r="E203" s="250"/>
      <c r="F203" s="250"/>
      <c r="G203" s="250"/>
      <c r="H203" s="250"/>
      <c r="I203" s="250"/>
      <c r="J203" s="184"/>
      <c r="K203" s="2"/>
      <c r="L203" s="2"/>
      <c r="M203" s="2"/>
      <c r="N203" s="2"/>
      <c r="O203" s="2"/>
      <c r="P203" s="2"/>
      <c r="Q203" s="2"/>
      <c r="R203" s="2"/>
    </row>
    <row r="204" spans="2:18" ht="8.4499999999999993" customHeight="1" x14ac:dyDescent="0.25"/>
    <row r="205" spans="2:18" s="11" customFormat="1" ht="33" x14ac:dyDescent="0.25">
      <c r="B205" s="61" t="s">
        <v>205</v>
      </c>
      <c r="C205" s="272" t="s">
        <v>110</v>
      </c>
      <c r="D205" s="272"/>
      <c r="E205" s="272"/>
      <c r="F205" s="272"/>
      <c r="G205" s="272"/>
      <c r="H205" s="272"/>
      <c r="I205" s="272"/>
      <c r="J205" s="272"/>
      <c r="K205" s="19"/>
      <c r="L205" s="15"/>
      <c r="M205" s="15"/>
      <c r="N205" s="15"/>
      <c r="O205" s="15"/>
      <c r="P205" s="15"/>
      <c r="Q205" s="15"/>
      <c r="R205" s="15"/>
    </row>
    <row r="206" spans="2:18" s="11" customFormat="1" ht="7.9" customHeight="1" thickBot="1" x14ac:dyDescent="0.3">
      <c r="B206" s="61"/>
      <c r="C206" s="113"/>
      <c r="D206" s="58"/>
      <c r="E206" s="58"/>
      <c r="F206" s="58"/>
      <c r="G206" s="58"/>
      <c r="H206" s="58"/>
      <c r="I206" s="58"/>
      <c r="J206" s="58"/>
      <c r="K206" s="19"/>
      <c r="L206" s="15"/>
      <c r="M206" s="15"/>
      <c r="N206" s="15"/>
      <c r="O206" s="15"/>
      <c r="P206" s="15"/>
      <c r="Q206" s="15"/>
      <c r="R206" s="15"/>
    </row>
    <row r="207" spans="2:18" ht="15" customHeight="1" thickBot="1" x14ac:dyDescent="0.3">
      <c r="C207" s="103"/>
      <c r="D207" s="292" t="s">
        <v>111</v>
      </c>
      <c r="E207" s="293"/>
      <c r="F207" s="293"/>
      <c r="G207" s="293"/>
      <c r="H207" s="84"/>
      <c r="I207" s="85"/>
      <c r="J207" s="86" t="s">
        <v>242</v>
      </c>
    </row>
    <row r="208" spans="2:18" x14ac:dyDescent="0.2">
      <c r="B208" s="25"/>
      <c r="C208" s="114"/>
      <c r="D208" s="185" t="s">
        <v>112</v>
      </c>
      <c r="E208" s="186"/>
      <c r="F208" s="186"/>
      <c r="G208" s="54"/>
      <c r="H208" s="54"/>
      <c r="I208" s="54"/>
      <c r="J208" s="187"/>
      <c r="K208" s="2"/>
      <c r="L208" s="2"/>
      <c r="M208" s="2"/>
      <c r="N208" s="2"/>
      <c r="O208" s="2"/>
      <c r="P208" s="2"/>
      <c r="Q208" s="2"/>
      <c r="R208" s="2"/>
    </row>
    <row r="209" spans="2:18" x14ac:dyDescent="0.2">
      <c r="B209" s="25"/>
      <c r="C209" s="114"/>
      <c r="D209" s="188" t="s">
        <v>113</v>
      </c>
      <c r="E209" s="189"/>
      <c r="F209" s="189"/>
      <c r="G209" s="11"/>
      <c r="H209" s="11"/>
      <c r="I209" s="11"/>
      <c r="J209" s="190"/>
      <c r="K209" s="2"/>
      <c r="L209" s="2"/>
      <c r="M209" s="2"/>
      <c r="N209" s="2"/>
      <c r="O209" s="2"/>
      <c r="P209" s="2"/>
      <c r="Q209" s="2"/>
      <c r="R209" s="2"/>
    </row>
    <row r="210" spans="2:18" x14ac:dyDescent="0.2">
      <c r="B210" s="25"/>
      <c r="C210" s="114"/>
      <c r="D210" s="185" t="s">
        <v>114</v>
      </c>
      <c r="E210" s="186"/>
      <c r="F210" s="186"/>
      <c r="G210" s="54"/>
      <c r="H210" s="54"/>
      <c r="I210" s="54"/>
      <c r="J210" s="187"/>
      <c r="K210" s="2"/>
      <c r="L210" s="2"/>
      <c r="M210" s="2"/>
      <c r="N210" s="2"/>
      <c r="O210" s="2"/>
      <c r="P210" s="2"/>
      <c r="Q210" s="2"/>
      <c r="R210" s="2"/>
    </row>
    <row r="211" spans="2:18" ht="15" thickBot="1" x14ac:dyDescent="0.25">
      <c r="B211" s="25"/>
      <c r="C211" s="114"/>
      <c r="D211" s="191" t="s">
        <v>115</v>
      </c>
      <c r="E211" s="192"/>
      <c r="F211" s="192"/>
      <c r="G211" s="157"/>
      <c r="H211" s="157"/>
      <c r="I211" s="157"/>
      <c r="J211" s="193"/>
      <c r="K211" s="2"/>
      <c r="L211" s="2"/>
      <c r="M211" s="2"/>
      <c r="N211" s="2"/>
      <c r="O211" s="2"/>
      <c r="P211" s="2"/>
      <c r="Q211" s="2"/>
      <c r="R211" s="2"/>
    </row>
    <row r="213" spans="2:18" ht="15.75" x14ac:dyDescent="0.25">
      <c r="C213" s="95" t="s">
        <v>116</v>
      </c>
    </row>
    <row r="214" spans="2:18" ht="5.45" customHeight="1" thickBot="1" x14ac:dyDescent="0.3">
      <c r="C214" s="95"/>
    </row>
    <row r="215" spans="2:18" ht="16.5" thickBot="1" x14ac:dyDescent="0.3">
      <c r="C215" s="95"/>
      <c r="D215" s="294" t="s">
        <v>243</v>
      </c>
      <c r="E215" s="295"/>
      <c r="F215" s="295"/>
      <c r="G215" s="295"/>
      <c r="H215" s="295"/>
      <c r="I215" s="295"/>
      <c r="J215" s="85" t="s">
        <v>242</v>
      </c>
    </row>
    <row r="216" spans="2:18" x14ac:dyDescent="0.2">
      <c r="B216" s="25"/>
      <c r="C216" s="103"/>
      <c r="D216" s="151" t="s">
        <v>117</v>
      </c>
      <c r="E216" s="54"/>
      <c r="F216" s="54"/>
      <c r="G216" s="54"/>
      <c r="H216" s="54"/>
      <c r="I216" s="54"/>
      <c r="J216" s="194"/>
      <c r="K216" s="2"/>
      <c r="L216" s="2"/>
      <c r="M216" s="2"/>
      <c r="N216" s="2"/>
      <c r="O216" s="2"/>
      <c r="P216" s="2"/>
      <c r="Q216" s="2"/>
      <c r="R216" s="2"/>
    </row>
    <row r="217" spans="2:18" x14ac:dyDescent="0.2">
      <c r="B217" s="25"/>
      <c r="C217" s="103"/>
      <c r="D217" s="118" t="s">
        <v>118</v>
      </c>
      <c r="E217" s="11"/>
      <c r="F217" s="11"/>
      <c r="G217" s="11"/>
      <c r="H217" s="11"/>
      <c r="I217" s="11"/>
      <c r="J217" s="190"/>
      <c r="K217" s="2"/>
      <c r="L217" s="2"/>
      <c r="M217" s="2"/>
      <c r="N217" s="2"/>
      <c r="O217" s="2"/>
      <c r="P217" s="2"/>
      <c r="Q217" s="2"/>
      <c r="R217" s="2"/>
    </row>
    <row r="218" spans="2:18" x14ac:dyDescent="0.2">
      <c r="B218" s="25"/>
      <c r="C218" s="103"/>
      <c r="D218" s="151" t="s">
        <v>119</v>
      </c>
      <c r="E218" s="54"/>
      <c r="F218" s="54"/>
      <c r="G218" s="54"/>
      <c r="H218" s="54"/>
      <c r="I218" s="54"/>
      <c r="J218" s="187"/>
      <c r="K218" s="2"/>
      <c r="L218" s="2"/>
      <c r="M218" s="2"/>
      <c r="N218" s="2"/>
      <c r="O218" s="2"/>
      <c r="P218" s="2"/>
      <c r="Q218" s="2"/>
      <c r="R218" s="2"/>
    </row>
    <row r="219" spans="2:18" x14ac:dyDescent="0.2">
      <c r="B219" s="25"/>
      <c r="C219" s="103"/>
      <c r="D219" s="118" t="s">
        <v>72</v>
      </c>
      <c r="E219" s="11"/>
      <c r="F219" s="11"/>
      <c r="G219" s="11"/>
      <c r="H219" s="11"/>
      <c r="I219" s="11"/>
      <c r="J219" s="190"/>
      <c r="K219" s="2"/>
      <c r="L219" s="2"/>
      <c r="M219" s="2"/>
      <c r="N219" s="2"/>
      <c r="O219" s="2"/>
      <c r="P219" s="2"/>
      <c r="Q219" s="2"/>
      <c r="R219" s="2"/>
    </row>
    <row r="220" spans="2:18" ht="15" thickBot="1" x14ac:dyDescent="0.25">
      <c r="B220" s="25"/>
      <c r="C220" s="103"/>
      <c r="D220" s="195" t="s">
        <v>54</v>
      </c>
      <c r="E220" s="196"/>
      <c r="F220" s="196"/>
      <c r="G220" s="196"/>
      <c r="H220" s="196"/>
      <c r="I220" s="196"/>
      <c r="J220" s="197"/>
      <c r="K220" s="2"/>
      <c r="L220" s="2"/>
      <c r="M220" s="2"/>
      <c r="N220" s="2"/>
      <c r="O220" s="2"/>
      <c r="P220" s="2"/>
      <c r="Q220" s="2"/>
      <c r="R220" s="2"/>
    </row>
    <row r="221" spans="2:18" ht="16.5" thickBot="1" x14ac:dyDescent="0.3">
      <c r="C221" s="103"/>
      <c r="J221" s="19"/>
      <c r="K221" s="2"/>
    </row>
    <row r="222" spans="2:18" ht="16.5" thickBot="1" x14ac:dyDescent="0.3">
      <c r="C222" s="294" t="s">
        <v>120</v>
      </c>
      <c r="D222" s="295"/>
      <c r="E222" s="295"/>
      <c r="F222" s="295"/>
      <c r="G222" s="295"/>
      <c r="H222" s="295"/>
      <c r="I222" s="295"/>
      <c r="J222" s="8" t="s">
        <v>242</v>
      </c>
    </row>
    <row r="223" spans="2:18" ht="30" x14ac:dyDescent="0.2">
      <c r="B223" s="25" t="s">
        <v>205</v>
      </c>
      <c r="C223" s="296" t="s">
        <v>121</v>
      </c>
      <c r="D223" s="297"/>
      <c r="E223" s="297"/>
      <c r="F223" s="297"/>
      <c r="G223" s="297"/>
      <c r="H223" s="297"/>
      <c r="I223" s="297"/>
      <c r="J223" s="198"/>
      <c r="K223" s="2"/>
      <c r="L223" s="2"/>
      <c r="M223" s="2"/>
      <c r="N223" s="2"/>
      <c r="O223" s="2"/>
      <c r="P223" s="2"/>
      <c r="Q223" s="2"/>
      <c r="R223" s="2"/>
    </row>
    <row r="224" spans="2:18" ht="30" x14ac:dyDescent="0.2">
      <c r="B224" s="25" t="s">
        <v>205</v>
      </c>
      <c r="C224" s="246" t="s">
        <v>122</v>
      </c>
      <c r="D224" s="247"/>
      <c r="E224" s="247"/>
      <c r="F224" s="247"/>
      <c r="G224" s="247"/>
      <c r="H224" s="247"/>
      <c r="I224" s="247"/>
      <c r="J224" s="199"/>
      <c r="K224" s="2"/>
      <c r="L224" s="2"/>
      <c r="M224" s="2"/>
      <c r="N224" s="2"/>
      <c r="O224" s="2"/>
      <c r="P224" s="2"/>
      <c r="Q224" s="2"/>
      <c r="R224" s="2"/>
    </row>
    <row r="225" spans="2:18" ht="16.5" thickBot="1" x14ac:dyDescent="0.25">
      <c r="B225" s="25" t="s">
        <v>209</v>
      </c>
      <c r="C225" s="298" t="s">
        <v>123</v>
      </c>
      <c r="D225" s="299"/>
      <c r="E225" s="299"/>
      <c r="F225" s="299"/>
      <c r="G225" s="299"/>
      <c r="H225" s="299"/>
      <c r="I225" s="299"/>
      <c r="J225" s="200"/>
      <c r="K225" s="2"/>
      <c r="L225" s="2"/>
      <c r="M225" s="2"/>
      <c r="N225" s="2"/>
      <c r="O225" s="2"/>
      <c r="P225" s="2"/>
      <c r="Q225" s="2"/>
      <c r="R225" s="2"/>
    </row>
    <row r="226" spans="2:18" s="30" customFormat="1" ht="10.9" customHeight="1" x14ac:dyDescent="0.25">
      <c r="B226" s="34"/>
      <c r="C226" s="115"/>
      <c r="D226" s="60"/>
      <c r="E226" s="60"/>
      <c r="F226" s="60"/>
      <c r="G226" s="60"/>
      <c r="H226" s="60"/>
      <c r="I226" s="60"/>
      <c r="J226" s="19"/>
      <c r="L226" s="28"/>
      <c r="M226" s="28"/>
      <c r="N226" s="28"/>
      <c r="O226" s="28"/>
      <c r="P226" s="28"/>
      <c r="Q226" s="28"/>
      <c r="R226" s="28"/>
    </row>
    <row r="227" spans="2:18" ht="16.5" thickBot="1" x14ac:dyDescent="0.3">
      <c r="C227" s="92" t="s">
        <v>124</v>
      </c>
    </row>
    <row r="228" spans="2:18" ht="16.5" thickBot="1" x14ac:dyDescent="0.3">
      <c r="C228" s="92" t="s">
        <v>125</v>
      </c>
      <c r="H228" s="2"/>
      <c r="I228" s="90" t="s">
        <v>126</v>
      </c>
      <c r="J228" s="17"/>
    </row>
    <row r="229" spans="2:18" ht="16.5" thickBot="1" x14ac:dyDescent="0.3">
      <c r="H229" s="2"/>
      <c r="I229" s="87" t="s">
        <v>127</v>
      </c>
      <c r="J229" s="21"/>
    </row>
    <row r="230" spans="2:18" ht="16.5" thickBot="1" x14ac:dyDescent="0.3">
      <c r="C230" s="92" t="s">
        <v>128</v>
      </c>
      <c r="F230" s="2"/>
      <c r="G230" s="16" t="s">
        <v>129</v>
      </c>
      <c r="H230" s="74"/>
    </row>
    <row r="231" spans="2:18" s="30" customFormat="1" ht="10.9" customHeight="1" x14ac:dyDescent="0.25">
      <c r="B231" s="34"/>
      <c r="C231" s="158"/>
      <c r="D231" s="28"/>
      <c r="E231" s="28"/>
      <c r="G231" s="19"/>
      <c r="H231" s="19"/>
      <c r="I231" s="28"/>
      <c r="J231" s="28"/>
      <c r="K231" s="28"/>
      <c r="L231" s="28"/>
      <c r="M231" s="28"/>
      <c r="N231" s="28"/>
      <c r="O231" s="28"/>
      <c r="P231" s="28"/>
      <c r="Q231" s="28"/>
      <c r="R231" s="28"/>
    </row>
    <row r="232" spans="2:18" ht="15.75" x14ac:dyDescent="0.25">
      <c r="C232" s="116" t="s">
        <v>244</v>
      </c>
    </row>
    <row r="233" spans="2:18" ht="9.6" customHeight="1" thickBot="1" x14ac:dyDescent="0.3">
      <c r="C233" s="103"/>
    </row>
    <row r="234" spans="2:18" ht="16.149999999999999" customHeight="1" thickBot="1" x14ac:dyDescent="0.3">
      <c r="C234" s="12"/>
      <c r="D234" s="295" t="s">
        <v>172</v>
      </c>
      <c r="E234" s="295"/>
      <c r="F234" s="295"/>
      <c r="G234" s="295"/>
      <c r="H234" s="295"/>
      <c r="I234" s="295"/>
      <c r="J234" s="8" t="s">
        <v>242</v>
      </c>
    </row>
    <row r="235" spans="2:18" ht="33" x14ac:dyDescent="0.25">
      <c r="B235" s="22" t="s">
        <v>205</v>
      </c>
      <c r="C235" s="50"/>
      <c r="D235" s="301" t="s">
        <v>130</v>
      </c>
      <c r="E235" s="301"/>
      <c r="F235" s="301"/>
      <c r="G235" s="301"/>
      <c r="H235" s="301"/>
      <c r="I235" s="301"/>
      <c r="J235" s="129" t="s">
        <v>173</v>
      </c>
      <c r="K235" s="2"/>
    </row>
    <row r="236" spans="2:18" ht="33" x14ac:dyDescent="0.25">
      <c r="B236" s="22" t="s">
        <v>205</v>
      </c>
      <c r="C236" s="121" t="s">
        <v>245</v>
      </c>
      <c r="D236" s="302" t="s">
        <v>269</v>
      </c>
      <c r="E236" s="302"/>
      <c r="F236" s="302"/>
      <c r="G236" s="302"/>
      <c r="H236" s="302"/>
      <c r="I236" s="302"/>
      <c r="J236" s="88"/>
      <c r="K236" s="2"/>
    </row>
    <row r="237" spans="2:18" ht="33" x14ac:dyDescent="0.25">
      <c r="B237" s="22" t="s">
        <v>205</v>
      </c>
      <c r="C237" s="124" t="s">
        <v>246</v>
      </c>
      <c r="D237" s="300" t="s">
        <v>131</v>
      </c>
      <c r="E237" s="300"/>
      <c r="F237" s="300"/>
      <c r="G237" s="300"/>
      <c r="H237" s="300"/>
      <c r="I237" s="300"/>
      <c r="J237" s="125"/>
      <c r="K237" s="2"/>
    </row>
    <row r="238" spans="2:18" ht="33" x14ac:dyDescent="0.25">
      <c r="B238" s="22" t="s">
        <v>205</v>
      </c>
      <c r="C238" s="121" t="s">
        <v>247</v>
      </c>
      <c r="D238" s="302" t="s">
        <v>270</v>
      </c>
      <c r="E238" s="302"/>
      <c r="F238" s="302"/>
      <c r="G238" s="302"/>
      <c r="H238" s="302"/>
      <c r="I238" s="302"/>
      <c r="J238" s="88"/>
      <c r="K238" s="2"/>
    </row>
    <row r="239" spans="2:18" ht="43.5" x14ac:dyDescent="0.25">
      <c r="B239" s="22" t="s">
        <v>205</v>
      </c>
      <c r="C239" s="124" t="s">
        <v>248</v>
      </c>
      <c r="D239" s="300" t="s">
        <v>249</v>
      </c>
      <c r="E239" s="300"/>
      <c r="F239" s="300"/>
      <c r="G239" s="300"/>
      <c r="H239" s="300"/>
      <c r="I239" s="300"/>
      <c r="J239" s="126" t="s">
        <v>132</v>
      </c>
      <c r="K239" s="2"/>
    </row>
    <row r="240" spans="2:18" ht="15.75" x14ac:dyDescent="0.25">
      <c r="C240" s="122"/>
      <c r="D240" s="120" t="s">
        <v>250</v>
      </c>
      <c r="E240" s="15"/>
      <c r="F240" s="15"/>
      <c r="G240" s="15"/>
      <c r="H240" s="15"/>
      <c r="I240" s="15"/>
      <c r="J240" s="46"/>
      <c r="K240" s="2"/>
    </row>
    <row r="241" spans="2:11" ht="33" x14ac:dyDescent="0.25">
      <c r="B241" s="22" t="s">
        <v>205</v>
      </c>
      <c r="C241" s="124" t="s">
        <v>260</v>
      </c>
      <c r="D241" s="300" t="s">
        <v>133</v>
      </c>
      <c r="E241" s="300"/>
      <c r="F241" s="300"/>
      <c r="G241" s="300"/>
      <c r="H241" s="300"/>
      <c r="I241" s="300"/>
      <c r="J241" s="125"/>
      <c r="K241" s="2"/>
    </row>
    <row r="242" spans="2:11" ht="33" x14ac:dyDescent="0.25">
      <c r="B242" s="22" t="s">
        <v>205</v>
      </c>
      <c r="C242" s="121" t="s">
        <v>261</v>
      </c>
      <c r="D242" s="302" t="s">
        <v>253</v>
      </c>
      <c r="E242" s="302"/>
      <c r="F242" s="302"/>
      <c r="G242" s="302"/>
      <c r="H242" s="302"/>
      <c r="I242" s="302"/>
      <c r="J242" s="88"/>
      <c r="K242" s="2"/>
    </row>
    <row r="243" spans="2:11" ht="33" x14ac:dyDescent="0.25">
      <c r="B243" s="22" t="s">
        <v>205</v>
      </c>
      <c r="C243" s="124" t="s">
        <v>262</v>
      </c>
      <c r="D243" s="300" t="s">
        <v>254</v>
      </c>
      <c r="E243" s="300"/>
      <c r="F243" s="300"/>
      <c r="G243" s="300"/>
      <c r="H243" s="300"/>
      <c r="I243" s="300"/>
      <c r="J243" s="125"/>
      <c r="K243" s="2"/>
    </row>
    <row r="244" spans="2:11" ht="33" x14ac:dyDescent="0.25">
      <c r="B244" s="22" t="s">
        <v>205</v>
      </c>
      <c r="C244" s="121" t="s">
        <v>263</v>
      </c>
      <c r="D244" s="302" t="s">
        <v>254</v>
      </c>
      <c r="E244" s="302"/>
      <c r="F244" s="302"/>
      <c r="G244" s="302"/>
      <c r="H244" s="302"/>
      <c r="I244" s="302"/>
      <c r="J244" s="88"/>
      <c r="K244" s="2"/>
    </row>
    <row r="245" spans="2:11" ht="48.75" x14ac:dyDescent="0.25">
      <c r="B245" s="22" t="s">
        <v>211</v>
      </c>
      <c r="C245" s="124" t="s">
        <v>265</v>
      </c>
      <c r="D245" s="300" t="s">
        <v>255</v>
      </c>
      <c r="E245" s="300"/>
      <c r="F245" s="300"/>
      <c r="G245" s="300"/>
      <c r="H245" s="300"/>
      <c r="I245" s="300"/>
      <c r="J245" s="125"/>
      <c r="K245" s="2"/>
    </row>
    <row r="246" spans="2:11" ht="33" x14ac:dyDescent="0.25">
      <c r="B246" s="22" t="s">
        <v>205</v>
      </c>
      <c r="C246" s="121" t="s">
        <v>264</v>
      </c>
      <c r="D246" s="302" t="s">
        <v>256</v>
      </c>
      <c r="E246" s="302"/>
      <c r="F246" s="302"/>
      <c r="G246" s="302"/>
      <c r="H246" s="302"/>
      <c r="I246" s="302"/>
      <c r="J246" s="88"/>
      <c r="K246" s="2"/>
    </row>
    <row r="247" spans="2:11" ht="33" x14ac:dyDescent="0.25">
      <c r="B247" s="22" t="s">
        <v>205</v>
      </c>
      <c r="C247" s="124" t="s">
        <v>266</v>
      </c>
      <c r="D247" s="300" t="s">
        <v>257</v>
      </c>
      <c r="E247" s="300"/>
      <c r="F247" s="300"/>
      <c r="G247" s="300"/>
      <c r="H247" s="300"/>
      <c r="I247" s="300"/>
      <c r="J247" s="125"/>
      <c r="K247" s="2"/>
    </row>
    <row r="248" spans="2:11" ht="33" x14ac:dyDescent="0.25">
      <c r="B248" s="22" t="s">
        <v>205</v>
      </c>
      <c r="C248" s="121" t="s">
        <v>267</v>
      </c>
      <c r="D248" s="302" t="s">
        <v>258</v>
      </c>
      <c r="E248" s="302"/>
      <c r="F248" s="302"/>
      <c r="G248" s="302"/>
      <c r="H248" s="302"/>
      <c r="I248" s="302"/>
      <c r="J248" s="88"/>
      <c r="K248" s="2"/>
    </row>
    <row r="249" spans="2:11" ht="33.75" thickBot="1" x14ac:dyDescent="0.3">
      <c r="B249" s="22" t="s">
        <v>205</v>
      </c>
      <c r="C249" s="127" t="s">
        <v>268</v>
      </c>
      <c r="D249" s="305" t="s">
        <v>259</v>
      </c>
      <c r="E249" s="305"/>
      <c r="F249" s="305"/>
      <c r="G249" s="305"/>
      <c r="H249" s="305"/>
      <c r="I249" s="305"/>
      <c r="J249" s="89"/>
      <c r="K249" s="2"/>
    </row>
    <row r="250" spans="2:11" ht="16.5" thickBot="1" x14ac:dyDescent="0.3"/>
    <row r="251" spans="2:11" ht="16.5" thickBot="1" x14ac:dyDescent="0.3">
      <c r="C251" s="128"/>
      <c r="D251" s="329" t="s">
        <v>176</v>
      </c>
      <c r="E251" s="330"/>
      <c r="F251" s="330"/>
      <c r="G251" s="330"/>
      <c r="H251" s="330"/>
      <c r="I251" s="331"/>
      <c r="J251" s="85" t="s">
        <v>242</v>
      </c>
    </row>
    <row r="252" spans="2:11" ht="33" x14ac:dyDescent="0.25">
      <c r="B252" s="22" t="s">
        <v>205</v>
      </c>
      <c r="C252" s="134"/>
      <c r="D252" s="306" t="s">
        <v>130</v>
      </c>
      <c r="E252" s="307"/>
      <c r="F252" s="307"/>
      <c r="G252" s="307"/>
      <c r="H252" s="307"/>
      <c r="I252" s="308"/>
      <c r="J252" s="159" t="s">
        <v>173</v>
      </c>
      <c r="K252" s="2"/>
    </row>
    <row r="253" spans="2:11" ht="33" x14ac:dyDescent="0.25">
      <c r="B253" s="22" t="s">
        <v>205</v>
      </c>
      <c r="C253" s="119" t="s">
        <v>245</v>
      </c>
      <c r="D253" s="309" t="s">
        <v>251</v>
      </c>
      <c r="E253" s="302"/>
      <c r="F253" s="302"/>
      <c r="G253" s="302"/>
      <c r="H253" s="302"/>
      <c r="I253" s="310"/>
      <c r="J253" s="135"/>
      <c r="K253" s="2"/>
    </row>
    <row r="254" spans="2:11" ht="33" x14ac:dyDescent="0.25">
      <c r="B254" s="22" t="s">
        <v>205</v>
      </c>
      <c r="C254" s="130" t="s">
        <v>246</v>
      </c>
      <c r="D254" s="303" t="s">
        <v>271</v>
      </c>
      <c r="E254" s="300"/>
      <c r="F254" s="300"/>
      <c r="G254" s="300"/>
      <c r="H254" s="300"/>
      <c r="I254" s="304"/>
      <c r="J254" s="136"/>
      <c r="K254" s="2"/>
    </row>
    <row r="255" spans="2:11" ht="33" x14ac:dyDescent="0.25">
      <c r="B255" s="22" t="s">
        <v>205</v>
      </c>
      <c r="C255" s="119" t="s">
        <v>247</v>
      </c>
      <c r="D255" s="309" t="s">
        <v>252</v>
      </c>
      <c r="E255" s="302"/>
      <c r="F255" s="302"/>
      <c r="G255" s="302"/>
      <c r="H255" s="302"/>
      <c r="I255" s="310"/>
      <c r="J255" s="135"/>
      <c r="K255" s="2"/>
    </row>
    <row r="256" spans="2:11" ht="33" x14ac:dyDescent="0.25">
      <c r="B256" s="22" t="s">
        <v>205</v>
      </c>
      <c r="C256" s="130" t="s">
        <v>248</v>
      </c>
      <c r="D256" s="303" t="s">
        <v>249</v>
      </c>
      <c r="E256" s="300"/>
      <c r="F256" s="300"/>
      <c r="G256" s="300"/>
      <c r="H256" s="300"/>
      <c r="I256" s="304"/>
      <c r="J256" s="137" t="s">
        <v>132</v>
      </c>
      <c r="K256" s="2"/>
    </row>
    <row r="257" spans="2:11" ht="15.75" x14ac:dyDescent="0.25">
      <c r="C257" s="95"/>
      <c r="D257" s="132" t="s">
        <v>250</v>
      </c>
      <c r="E257" s="15"/>
      <c r="F257" s="15"/>
      <c r="G257" s="15"/>
      <c r="H257" s="15"/>
      <c r="I257" s="133"/>
      <c r="J257" s="66"/>
      <c r="K257" s="2"/>
    </row>
    <row r="258" spans="2:11" ht="33" x14ac:dyDescent="0.25">
      <c r="B258" s="22" t="s">
        <v>205</v>
      </c>
      <c r="C258" s="130" t="s">
        <v>260</v>
      </c>
      <c r="D258" s="303" t="s">
        <v>133</v>
      </c>
      <c r="E258" s="300"/>
      <c r="F258" s="300"/>
      <c r="G258" s="300"/>
      <c r="H258" s="300"/>
      <c r="I258" s="304"/>
      <c r="J258" s="136"/>
      <c r="K258" s="2"/>
    </row>
    <row r="259" spans="2:11" ht="33" x14ac:dyDescent="0.25">
      <c r="B259" s="22" t="s">
        <v>205</v>
      </c>
      <c r="C259" s="119" t="s">
        <v>261</v>
      </c>
      <c r="D259" s="309" t="s">
        <v>272</v>
      </c>
      <c r="E259" s="302"/>
      <c r="F259" s="302"/>
      <c r="G259" s="302"/>
      <c r="H259" s="302"/>
      <c r="I259" s="310"/>
      <c r="J259" s="135"/>
      <c r="K259" s="2"/>
    </row>
    <row r="260" spans="2:11" ht="33" x14ac:dyDescent="0.25">
      <c r="B260" s="22" t="s">
        <v>205</v>
      </c>
      <c r="C260" s="130" t="s">
        <v>262</v>
      </c>
      <c r="D260" s="303" t="s">
        <v>273</v>
      </c>
      <c r="E260" s="300"/>
      <c r="F260" s="300"/>
      <c r="G260" s="300"/>
      <c r="H260" s="300"/>
      <c r="I260" s="304"/>
      <c r="J260" s="136"/>
      <c r="K260" s="2"/>
    </row>
    <row r="261" spans="2:11" ht="33" x14ac:dyDescent="0.25">
      <c r="B261" s="22" t="s">
        <v>205</v>
      </c>
      <c r="C261" s="119" t="s">
        <v>263</v>
      </c>
      <c r="D261" s="309" t="s">
        <v>274</v>
      </c>
      <c r="E261" s="302"/>
      <c r="F261" s="302"/>
      <c r="G261" s="302"/>
      <c r="H261" s="302"/>
      <c r="I261" s="310"/>
      <c r="J261" s="135"/>
      <c r="K261" s="2"/>
    </row>
    <row r="262" spans="2:11" ht="48.75" x14ac:dyDescent="0.25">
      <c r="B262" s="22" t="s">
        <v>211</v>
      </c>
      <c r="C262" s="130" t="s">
        <v>265</v>
      </c>
      <c r="D262" s="303" t="s">
        <v>275</v>
      </c>
      <c r="E262" s="300"/>
      <c r="F262" s="300"/>
      <c r="G262" s="300"/>
      <c r="H262" s="300"/>
      <c r="I262" s="304"/>
      <c r="J262" s="136"/>
      <c r="K262" s="2"/>
    </row>
    <row r="263" spans="2:11" ht="48.75" x14ac:dyDescent="0.25">
      <c r="B263" s="22" t="s">
        <v>211</v>
      </c>
      <c r="C263" s="119" t="s">
        <v>264</v>
      </c>
      <c r="D263" s="309" t="s">
        <v>276</v>
      </c>
      <c r="E263" s="302"/>
      <c r="F263" s="302"/>
      <c r="G263" s="302"/>
      <c r="H263" s="302"/>
      <c r="I263" s="310"/>
      <c r="J263" s="135"/>
      <c r="K263" s="2"/>
    </row>
    <row r="264" spans="2:11" ht="48.75" x14ac:dyDescent="0.25">
      <c r="B264" s="22" t="s">
        <v>211</v>
      </c>
      <c r="C264" s="130" t="s">
        <v>266</v>
      </c>
      <c r="D264" s="303" t="s">
        <v>277</v>
      </c>
      <c r="E264" s="300"/>
      <c r="F264" s="300"/>
      <c r="G264" s="300"/>
      <c r="H264" s="300"/>
      <c r="I264" s="304"/>
      <c r="J264" s="136"/>
      <c r="K264" s="2"/>
    </row>
    <row r="265" spans="2:11" ht="48.75" x14ac:dyDescent="0.25">
      <c r="B265" s="22" t="s">
        <v>211</v>
      </c>
      <c r="C265" s="119" t="s">
        <v>267</v>
      </c>
      <c r="D265" s="309" t="s">
        <v>278</v>
      </c>
      <c r="E265" s="302"/>
      <c r="F265" s="302"/>
      <c r="G265" s="302"/>
      <c r="H265" s="302"/>
      <c r="I265" s="310"/>
      <c r="J265" s="135"/>
      <c r="K265" s="2"/>
    </row>
    <row r="266" spans="2:11" ht="18" thickBot="1" x14ac:dyDescent="0.3">
      <c r="B266" s="22" t="s">
        <v>209</v>
      </c>
      <c r="C266" s="131" t="s">
        <v>268</v>
      </c>
      <c r="D266" s="327" t="s">
        <v>134</v>
      </c>
      <c r="E266" s="305"/>
      <c r="F266" s="305"/>
      <c r="G266" s="305"/>
      <c r="H266" s="305"/>
      <c r="I266" s="328"/>
      <c r="J266" s="138"/>
      <c r="K266" s="2"/>
    </row>
    <row r="267" spans="2:11" ht="12" customHeight="1" x14ac:dyDescent="0.25"/>
    <row r="268" spans="2:11" ht="16.5" thickBot="1" x14ac:dyDescent="0.3">
      <c r="C268" s="92" t="s">
        <v>135</v>
      </c>
    </row>
    <row r="269" spans="2:11" ht="16.5" thickBot="1" x14ac:dyDescent="0.3">
      <c r="C269" s="92"/>
      <c r="J269" s="141" t="s">
        <v>242</v>
      </c>
    </row>
    <row r="270" spans="2:11" ht="33" x14ac:dyDescent="0.25">
      <c r="B270" s="22" t="s">
        <v>205</v>
      </c>
      <c r="C270" s="332" t="s">
        <v>136</v>
      </c>
      <c r="D270" s="333"/>
      <c r="E270" s="333"/>
      <c r="F270" s="333"/>
      <c r="G270" s="333"/>
      <c r="H270" s="333"/>
      <c r="I270" s="333"/>
      <c r="J270" s="142"/>
      <c r="K270" s="2"/>
    </row>
    <row r="271" spans="2:11" ht="18" thickBot="1" x14ac:dyDescent="0.3">
      <c r="B271" s="22" t="s">
        <v>209</v>
      </c>
      <c r="C271" s="334" t="s">
        <v>137</v>
      </c>
      <c r="D271" s="335"/>
      <c r="E271" s="335"/>
      <c r="F271" s="335"/>
      <c r="G271" s="335"/>
      <c r="H271" s="335"/>
      <c r="I271" s="335"/>
      <c r="J271" s="123"/>
      <c r="K271" s="2"/>
    </row>
    <row r="272" spans="2:11" ht="10.15" customHeight="1" x14ac:dyDescent="0.25">
      <c r="C272" s="139"/>
      <c r="D272" s="139"/>
      <c r="E272" s="139"/>
      <c r="F272" s="139"/>
      <c r="G272" s="139"/>
      <c r="H272" s="139"/>
      <c r="I272" s="140"/>
      <c r="J272" s="19"/>
      <c r="K272" s="2"/>
    </row>
    <row r="273" spans="2:18" ht="15.75" x14ac:dyDescent="0.25">
      <c r="C273" s="92" t="s">
        <v>146</v>
      </c>
    </row>
    <row r="274" spans="2:18" ht="48.75" x14ac:dyDescent="0.25">
      <c r="B274" s="22" t="s">
        <v>211</v>
      </c>
      <c r="C274" s="336" t="s">
        <v>279</v>
      </c>
      <c r="D274" s="336"/>
      <c r="E274" s="336"/>
      <c r="F274" s="336"/>
      <c r="G274" s="336"/>
      <c r="H274" s="336"/>
      <c r="I274" s="336"/>
      <c r="J274" s="336"/>
    </row>
    <row r="275" spans="2:18" s="30" customFormat="1" ht="9" customHeight="1" thickBot="1" x14ac:dyDescent="0.3">
      <c r="B275" s="34"/>
      <c r="C275" s="143"/>
      <c r="D275" s="143"/>
      <c r="E275" s="143"/>
      <c r="F275" s="143"/>
      <c r="G275" s="143"/>
      <c r="H275" s="143"/>
      <c r="I275" s="143"/>
      <c r="J275" s="143"/>
      <c r="K275" s="28"/>
      <c r="L275" s="28"/>
      <c r="M275" s="28"/>
      <c r="N275" s="28"/>
      <c r="O275" s="28"/>
      <c r="P275" s="28"/>
      <c r="Q275" s="28"/>
      <c r="R275" s="28"/>
    </row>
    <row r="276" spans="2:18" ht="15.6" customHeight="1" thickBot="1" x14ac:dyDescent="0.3">
      <c r="C276" s="144" t="s">
        <v>138</v>
      </c>
      <c r="D276" s="145"/>
      <c r="E276" s="81"/>
      <c r="F276" s="81"/>
      <c r="G276" s="81"/>
      <c r="H276" s="311"/>
      <c r="I276" s="244"/>
      <c r="J276" s="245"/>
    </row>
    <row r="277" spans="2:18" ht="16.5" thickBot="1" x14ac:dyDescent="0.3">
      <c r="C277" s="312" t="s">
        <v>139</v>
      </c>
      <c r="D277" s="313"/>
      <c r="E277" s="313"/>
      <c r="F277" s="313"/>
      <c r="G277" s="313"/>
      <c r="H277" s="313"/>
      <c r="I277" s="313"/>
      <c r="J277" s="314"/>
    </row>
    <row r="279" spans="2:18" ht="15.75" x14ac:dyDescent="0.25">
      <c r="C279" s="92" t="s">
        <v>140</v>
      </c>
    </row>
    <row r="280" spans="2:18" ht="10.15" customHeight="1" x14ac:dyDescent="0.25">
      <c r="C280" s="92"/>
    </row>
    <row r="281" spans="2:18" ht="15.75" x14ac:dyDescent="0.25">
      <c r="C281" s="117" t="s">
        <v>245</v>
      </c>
      <c r="D281" s="14" t="s">
        <v>141</v>
      </c>
    </row>
    <row r="282" spans="2:18" ht="15.75" x14ac:dyDescent="0.25">
      <c r="C282" s="117" t="s">
        <v>246</v>
      </c>
      <c r="D282" s="14" t="s">
        <v>143</v>
      </c>
    </row>
    <row r="283" spans="2:18" ht="15.75" x14ac:dyDescent="0.25">
      <c r="C283" s="117" t="s">
        <v>247</v>
      </c>
      <c r="D283" s="14" t="s">
        <v>145</v>
      </c>
    </row>
    <row r="284" spans="2:18" ht="15.75" x14ac:dyDescent="0.25">
      <c r="C284" s="117" t="s">
        <v>280</v>
      </c>
      <c r="D284" s="14" t="s">
        <v>147</v>
      </c>
    </row>
    <row r="285" spans="2:18" ht="15.75" x14ac:dyDescent="0.25">
      <c r="C285" s="117" t="s">
        <v>260</v>
      </c>
      <c r="D285" s="14" t="s">
        <v>142</v>
      </c>
    </row>
    <row r="286" spans="2:18" ht="15.75" x14ac:dyDescent="0.25">
      <c r="C286" s="117" t="s">
        <v>261</v>
      </c>
      <c r="D286" s="14" t="s">
        <v>144</v>
      </c>
    </row>
    <row r="287" spans="2:18" ht="12" customHeight="1" x14ac:dyDescent="0.25"/>
    <row r="288" spans="2:18" ht="16.5" thickBot="1" x14ac:dyDescent="0.3">
      <c r="C288" s="315" t="s">
        <v>281</v>
      </c>
      <c r="D288" s="315"/>
      <c r="E288" s="315"/>
      <c r="F288" s="315"/>
      <c r="G288" s="315"/>
      <c r="H288" s="315"/>
      <c r="I288" s="315"/>
      <c r="J288" s="315"/>
    </row>
    <row r="289" spans="3:10" ht="15.75" x14ac:dyDescent="0.25">
      <c r="C289" s="144"/>
      <c r="D289" s="146"/>
      <c r="E289" s="146"/>
      <c r="F289" s="145" t="s">
        <v>91</v>
      </c>
      <c r="G289" s="145" t="s">
        <v>177</v>
      </c>
      <c r="H289" s="145" t="s">
        <v>178</v>
      </c>
      <c r="I289" s="145" t="s">
        <v>179</v>
      </c>
      <c r="J289" s="82"/>
    </row>
    <row r="290" spans="3:10" ht="15.75" x14ac:dyDescent="0.25">
      <c r="C290" s="147"/>
      <c r="D290" s="11"/>
      <c r="E290" s="11"/>
      <c r="F290" s="10"/>
      <c r="G290" s="10"/>
      <c r="H290" s="10"/>
      <c r="I290" s="10"/>
      <c r="J290" s="133"/>
    </row>
    <row r="291" spans="3:10" ht="15.75" x14ac:dyDescent="0.25">
      <c r="C291" s="147"/>
      <c r="D291" s="11"/>
      <c r="E291" s="11"/>
      <c r="F291" s="10"/>
      <c r="G291" s="10"/>
      <c r="H291" s="10"/>
      <c r="I291" s="10"/>
      <c r="J291" s="133"/>
    </row>
    <row r="292" spans="3:10" ht="15.75" x14ac:dyDescent="0.25">
      <c r="C292" s="151"/>
      <c r="D292" s="152" t="s">
        <v>180</v>
      </c>
      <c r="E292" s="54"/>
      <c r="F292" s="153">
        <v>8</v>
      </c>
      <c r="G292" s="153">
        <v>2</v>
      </c>
      <c r="H292" s="153">
        <v>5</v>
      </c>
      <c r="I292" s="153">
        <f>+F292*G292*H292</f>
        <v>80</v>
      </c>
      <c r="J292" s="154"/>
    </row>
    <row r="293" spans="3:10" ht="15.75" x14ac:dyDescent="0.25">
      <c r="C293" s="118"/>
      <c r="D293" s="148"/>
      <c r="E293" s="11"/>
      <c r="F293" s="10"/>
      <c r="G293" s="10"/>
      <c r="H293" s="10"/>
      <c r="I293" s="10"/>
      <c r="J293" s="133"/>
    </row>
    <row r="294" spans="3:10" ht="15.75" x14ac:dyDescent="0.25">
      <c r="C294" s="151"/>
      <c r="D294" s="152" t="s">
        <v>181</v>
      </c>
      <c r="E294" s="54"/>
      <c r="F294" s="153">
        <v>8</v>
      </c>
      <c r="G294" s="153">
        <v>2</v>
      </c>
      <c r="H294" s="153">
        <v>5</v>
      </c>
      <c r="I294" s="153">
        <f>+F294*G294*H294</f>
        <v>80</v>
      </c>
      <c r="J294" s="154"/>
    </row>
    <row r="295" spans="3:10" ht="15.75" x14ac:dyDescent="0.25">
      <c r="C295" s="118"/>
      <c r="D295" s="148"/>
      <c r="E295" s="11"/>
      <c r="F295" s="10"/>
      <c r="G295" s="10"/>
      <c r="H295" s="10"/>
      <c r="I295" s="10"/>
      <c r="J295" s="133"/>
    </row>
    <row r="296" spans="3:10" ht="15.75" x14ac:dyDescent="0.25">
      <c r="C296" s="151"/>
      <c r="D296" s="152" t="s">
        <v>182</v>
      </c>
      <c r="E296" s="54"/>
      <c r="F296" s="153">
        <v>8</v>
      </c>
      <c r="G296" s="153">
        <v>1</v>
      </c>
      <c r="H296" s="153">
        <v>4</v>
      </c>
      <c r="I296" s="153">
        <f>+F296*G296*H296</f>
        <v>32</v>
      </c>
      <c r="J296" s="154"/>
    </row>
    <row r="297" spans="3:10" ht="15.75" x14ac:dyDescent="0.25">
      <c r="C297" s="147"/>
      <c r="D297" s="10"/>
      <c r="E297" s="10"/>
      <c r="F297" s="10"/>
      <c r="G297" s="10"/>
      <c r="H297" s="10"/>
      <c r="I297" s="10"/>
      <c r="J297" s="133"/>
    </row>
    <row r="298" spans="3:10" ht="15.75" x14ac:dyDescent="0.25">
      <c r="C298" s="147"/>
      <c r="D298" s="10"/>
      <c r="E298" s="10"/>
      <c r="F298" s="10"/>
      <c r="G298" s="10"/>
      <c r="H298" s="10"/>
      <c r="I298" s="10"/>
      <c r="J298" s="133"/>
    </row>
    <row r="299" spans="3:10" ht="15.75" x14ac:dyDescent="0.25">
      <c r="C299" s="155"/>
      <c r="D299" s="153" t="s">
        <v>183</v>
      </c>
      <c r="E299" s="153"/>
      <c r="F299" s="153">
        <f>+I292+I294+I296</f>
        <v>192</v>
      </c>
      <c r="G299" s="153" t="s">
        <v>3</v>
      </c>
      <c r="H299" s="153" t="e">
        <f>+#REF!</f>
        <v>#REF!</v>
      </c>
      <c r="I299" s="153"/>
      <c r="J299" s="154"/>
    </row>
    <row r="300" spans="3:10" ht="15.75" x14ac:dyDescent="0.25">
      <c r="C300" s="147"/>
      <c r="D300" s="10"/>
      <c r="E300" s="10"/>
      <c r="F300" s="10"/>
      <c r="G300" s="10"/>
      <c r="H300" s="10"/>
      <c r="I300" s="10"/>
      <c r="J300" s="133"/>
    </row>
    <row r="301" spans="3:10" ht="15.75" x14ac:dyDescent="0.25">
      <c r="C301" s="155"/>
      <c r="D301" s="153" t="s">
        <v>184</v>
      </c>
      <c r="E301" s="153"/>
      <c r="F301" s="153">
        <f>+F299+36</f>
        <v>228</v>
      </c>
      <c r="G301" s="153"/>
      <c r="H301" s="156" t="e">
        <f>+H299/F299</f>
        <v>#REF!</v>
      </c>
      <c r="I301" s="156"/>
      <c r="J301" s="154"/>
    </row>
    <row r="302" spans="3:10" ht="16.5" thickBot="1" x14ac:dyDescent="0.3">
      <c r="C302" s="149"/>
      <c r="D302" s="83"/>
      <c r="E302" s="83"/>
      <c r="F302" s="83"/>
      <c r="G302" s="83"/>
      <c r="H302" s="83"/>
      <c r="I302" s="83"/>
      <c r="J302" s="150"/>
    </row>
  </sheetData>
  <mergeCells count="145">
    <mergeCell ref="H276:J276"/>
    <mergeCell ref="C277:J277"/>
    <mergeCell ref="C288:J288"/>
    <mergeCell ref="C44:J44"/>
    <mergeCell ref="C66:J66"/>
    <mergeCell ref="D118:F118"/>
    <mergeCell ref="D136:F136"/>
    <mergeCell ref="D172:E172"/>
    <mergeCell ref="D173:E173"/>
    <mergeCell ref="D101:F101"/>
    <mergeCell ref="D266:I266"/>
    <mergeCell ref="D251:I251"/>
    <mergeCell ref="C270:I270"/>
    <mergeCell ref="C271:I271"/>
    <mergeCell ref="C274:J274"/>
    <mergeCell ref="D261:I261"/>
    <mergeCell ref="D262:I262"/>
    <mergeCell ref="D263:I263"/>
    <mergeCell ref="D264:I264"/>
    <mergeCell ref="D265:I265"/>
    <mergeCell ref="D255:I255"/>
    <mergeCell ref="D256:I256"/>
    <mergeCell ref="D258:I258"/>
    <mergeCell ref="D259:I259"/>
    <mergeCell ref="D260:I260"/>
    <mergeCell ref="D249:I249"/>
    <mergeCell ref="D252:I252"/>
    <mergeCell ref="D253:I253"/>
    <mergeCell ref="D254:I254"/>
    <mergeCell ref="D244:I244"/>
    <mergeCell ref="D245:I245"/>
    <mergeCell ref="D246:I246"/>
    <mergeCell ref="D247:I247"/>
    <mergeCell ref="D248:I248"/>
    <mergeCell ref="D239:I239"/>
    <mergeCell ref="D235:I235"/>
    <mergeCell ref="D241:I241"/>
    <mergeCell ref="D242:I242"/>
    <mergeCell ref="D243:I243"/>
    <mergeCell ref="D234:I234"/>
    <mergeCell ref="D236:I236"/>
    <mergeCell ref="D237:I237"/>
    <mergeCell ref="D238:I238"/>
    <mergeCell ref="D207:G207"/>
    <mergeCell ref="D215:I215"/>
    <mergeCell ref="C223:I223"/>
    <mergeCell ref="C224:I224"/>
    <mergeCell ref="C225:I225"/>
    <mergeCell ref="C222:I222"/>
    <mergeCell ref="C200:I200"/>
    <mergeCell ref="C201:I201"/>
    <mergeCell ref="C202:I202"/>
    <mergeCell ref="C203:I203"/>
    <mergeCell ref="C205:J205"/>
    <mergeCell ref="D194:I194"/>
    <mergeCell ref="D195:I195"/>
    <mergeCell ref="D196:I196"/>
    <mergeCell ref="D197:I197"/>
    <mergeCell ref="D189:I189"/>
    <mergeCell ref="C187:J187"/>
    <mergeCell ref="D190:I190"/>
    <mergeCell ref="D191:I191"/>
    <mergeCell ref="D192:I192"/>
    <mergeCell ref="D193:I193"/>
    <mergeCell ref="C179:I179"/>
    <mergeCell ref="C180:I180"/>
    <mergeCell ref="C181:I181"/>
    <mergeCell ref="C182:I182"/>
    <mergeCell ref="C185:I185"/>
    <mergeCell ref="C171:J171"/>
    <mergeCell ref="F172:G172"/>
    <mergeCell ref="D175:J175"/>
    <mergeCell ref="C177:I177"/>
    <mergeCell ref="C178:I178"/>
    <mergeCell ref="F173:G173"/>
    <mergeCell ref="D165:H165"/>
    <mergeCell ref="D166:H166"/>
    <mergeCell ref="D168:H168"/>
    <mergeCell ref="D169:H169"/>
    <mergeCell ref="D152:H152"/>
    <mergeCell ref="D160:H160"/>
    <mergeCell ref="D161:H161"/>
    <mergeCell ref="D162:H162"/>
    <mergeCell ref="D163:H163"/>
    <mergeCell ref="D164:H164"/>
    <mergeCell ref="D155:H155"/>
    <mergeCell ref="D156:H156"/>
    <mergeCell ref="D157:H157"/>
    <mergeCell ref="D158:H158"/>
    <mergeCell ref="D159:H159"/>
    <mergeCell ref="C148:I148"/>
    <mergeCell ref="C150:J150"/>
    <mergeCell ref="D153:H153"/>
    <mergeCell ref="D154:H154"/>
    <mergeCell ref="C131:I131"/>
    <mergeCell ref="C132:I132"/>
    <mergeCell ref="C145:I145"/>
    <mergeCell ref="C146:I146"/>
    <mergeCell ref="C147:I147"/>
    <mergeCell ref="C126:I126"/>
    <mergeCell ref="C127:I127"/>
    <mergeCell ref="C128:I128"/>
    <mergeCell ref="C129:G129"/>
    <mergeCell ref="H129:J129"/>
    <mergeCell ref="C115:I115"/>
    <mergeCell ref="C117:J117"/>
    <mergeCell ref="C123:I123"/>
    <mergeCell ref="C124:I124"/>
    <mergeCell ref="C125:I125"/>
    <mergeCell ref="H97:I97"/>
    <mergeCell ref="D98:F98"/>
    <mergeCell ref="C113:I113"/>
    <mergeCell ref="C114:I114"/>
    <mergeCell ref="C87:E87"/>
    <mergeCell ref="C88:E88"/>
    <mergeCell ref="C89:E89"/>
    <mergeCell ref="C90:E90"/>
    <mergeCell ref="F90:G90"/>
    <mergeCell ref="F84:J85"/>
    <mergeCell ref="F87:J87"/>
    <mergeCell ref="F88:J88"/>
    <mergeCell ref="F89:J89"/>
    <mergeCell ref="G76:J76"/>
    <mergeCell ref="C78:I78"/>
    <mergeCell ref="C79:I79"/>
    <mergeCell ref="C80:I80"/>
    <mergeCell ref="H52:J52"/>
    <mergeCell ref="H53:J53"/>
    <mergeCell ref="D64:J64"/>
    <mergeCell ref="G75:J75"/>
    <mergeCell ref="D50:I50"/>
    <mergeCell ref="C1:D1"/>
    <mergeCell ref="D6:J6"/>
    <mergeCell ref="D7:J7"/>
    <mergeCell ref="D8:J8"/>
    <mergeCell ref="D9:J9"/>
    <mergeCell ref="E1:J1"/>
    <mergeCell ref="C2:D2"/>
    <mergeCell ref="E2:J2"/>
    <mergeCell ref="E3:J3"/>
    <mergeCell ref="D27:J27"/>
    <mergeCell ref="D35:J35"/>
    <mergeCell ref="D42:J42"/>
    <mergeCell ref="D45:I45"/>
    <mergeCell ref="D48:J48"/>
  </mergeCells>
  <dataValidations count="10">
    <dataValidation type="list" allowBlank="1" showInputMessage="1" showErrorMessage="1" sqref="X3:X5 G25" xr:uid="{B0CF1F81-C9AB-41BE-AB38-6AD1C38160C8}">
      <formula1>$X$3:$X$4</formula1>
    </dataValidation>
    <dataValidation type="list" allowBlank="1" showInputMessage="1" showErrorMessage="1" sqref="G29:G33 G38:G39 G58:G61 G68:G73 J228:J229" xr:uid="{01C1E012-25FB-4F64-9CF4-FFE8D48DCAF1}">
      <formula1>$X$7:$X$8</formula1>
    </dataValidation>
    <dataValidation type="list" allowBlank="1" showInputMessage="1" showErrorMessage="1" sqref="G98" xr:uid="{FED00306-1A97-4920-BF22-15D8D23D9C80}">
      <formula1>$Z$3:$Z$8</formula1>
    </dataValidation>
    <dataValidation type="list" allowBlank="1" showInputMessage="1" showErrorMessage="1" sqref="G230:G231 J45" xr:uid="{01912125-64B6-453B-B3C7-6BD164678ED2}">
      <formula1>$X$11:$X$12</formula1>
    </dataValidation>
    <dataValidation type="list" allowBlank="1" showInputMessage="1" showErrorMessage="1" sqref="J235 J252" xr:uid="{AC49AF8B-6837-4157-87BB-D306C1D087DA}">
      <formula1>$Z$11:$Z$12</formula1>
    </dataValidation>
    <dataValidation type="list" allowBlank="1" showInputMessage="1" showErrorMessage="1" sqref="J239 J256" xr:uid="{33522B73-F0AE-4904-BF92-A711C69129AE}">
      <formula1>$AA$3:$AA$4</formula1>
    </dataValidation>
    <dataValidation type="list" allowBlank="1" showInputMessage="1" showErrorMessage="1" sqref="R88 J90" xr:uid="{64563AC9-093D-4B7A-9637-E742A4C29B9D}">
      <formula1>$AG$2:$AG$3</formula1>
    </dataValidation>
    <dataValidation type="list" allowBlank="1" showInputMessage="1" showErrorMessage="1" sqref="J270:J272 H167 I153:J169 J123:J125 J266 J258:J263 J253:J255 J249 J241:J246 J236:J238 J223:J226 J216:J221 J208:J211 J203 J200:J201 J190:J198 J185:J186 J177 F167 J147:J149 J145 G137:G143 J127:J128 J113 G102:G111 J80 J50 K51" xr:uid="{2A01E76A-D4D8-46A0-BC90-5E8F08D8F7B7}">
      <formula1>$AD$2:$AD$3</formula1>
    </dataValidation>
    <dataValidation type="list" allowBlank="1" showInputMessage="1" showErrorMessage="1" sqref="J78:J79 J114:J116 J131:J133 J146 J178" xr:uid="{048BB621-AF9B-475E-B7F2-439812E42FC8}">
      <formula1>$AD$2:$AD$4</formula1>
    </dataValidation>
    <dataValidation type="list" allowBlank="1" showInputMessage="1" showErrorMessage="1" sqref="G119:G121 J179:J180 J182:J183 J202 J247:J248 J264:J265" xr:uid="{6A20A301-00E0-4EB5-BC2B-48FBA9A4A35C}">
      <formula1>$AF$2:$AF$4</formula1>
    </dataValidation>
  </dataValidations>
  <pageMargins left="0.62992125984251968" right="0.59055118110236227" top="0.59055118110236227" bottom="0.59055118110236227" header="7.874015748031496E-2" footer="7.874015748031496E-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900</vt:lpstr>
      <vt:lpstr>'900'!Área_de_impresión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2022-01-19T17:45:16Z</cp:lastPrinted>
  <dcterms:created xsi:type="dcterms:W3CDTF">2018-03-19T15:26:28Z</dcterms:created>
  <dcterms:modified xsi:type="dcterms:W3CDTF">2023-08-25T16:46:01Z</dcterms:modified>
</cp:coreProperties>
</file>