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1 AAA\2023\0. AUDITORÍA MODELO 3ANG 2023\2. ANÁLISIS\2- 600. Ingresos\"/>
    </mc:Choice>
  </mc:AlternateContent>
  <xr:revisionPtr revIDLastSave="0" documentId="13_ncr:1_{D13087EF-18E3-4214-8221-4B4DBCD37110}" xr6:coauthVersionLast="47" xr6:coauthVersionMax="47" xr10:uidLastSave="{00000000-0000-0000-0000-000000000000}"/>
  <bookViews>
    <workbookView xWindow="-120" yWindow="-120" windowWidth="20730" windowHeight="11040" tabRatio="824" xr2:uid="{00000000-000D-0000-FFFF-FFFF00000000}"/>
  </bookViews>
  <sheets>
    <sheet name="P-600" sheetId="12" r:id="rId1"/>
    <sheet name="600-1" sheetId="13" r:id="rId2"/>
    <sheet name="601 mayor" sheetId="11" r:id="rId3"/>
    <sheet name="601 Ingresos" sheetId="2" r:id="rId4"/>
    <sheet name="601 Comp impuestos" sheetId="4" r:id="rId5"/>
    <sheet name="601 anexo con declaraciones" sheetId="5" r:id="rId6"/>
    <sheet name="601 Reporte de venta" sheetId="9" r:id="rId7"/>
  </sheets>
  <definedNames>
    <definedName name="_xlnm._FilterDatabase" localSheetId="3" hidden="1">'601 Ingresos'!$A$10:$C$25</definedName>
    <definedName name="_xlnm._FilterDatabase" localSheetId="2" hidden="1">'601 mayor'!#REF!</definedName>
    <definedName name="_xlnm.Print_Area" localSheetId="4">'601 Comp impuestos'!$A$1:$H$26</definedName>
    <definedName name="_xlnm.Print_Area" localSheetId="3">'601 Ingresos'!$A$1:$J$33</definedName>
    <definedName name="_xlnm.Print_Titles" localSheetId="3">'601 Ingresos'!$1:$8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13" l="1"/>
  <c r="C18" i="13" s="1"/>
  <c r="D4" i="13"/>
  <c r="L8" i="12"/>
  <c r="H8" i="12"/>
  <c r="B21" i="4"/>
  <c r="B11" i="4"/>
  <c r="J13" i="2"/>
  <c r="I13" i="2"/>
  <c r="B10" i="4" s="1"/>
  <c r="H14" i="2"/>
  <c r="H15" i="2"/>
  <c r="H16" i="2"/>
  <c r="H17" i="2"/>
  <c r="H18" i="2"/>
  <c r="H19" i="2"/>
  <c r="H20" i="2"/>
  <c r="H21" i="2"/>
  <c r="H22" i="2"/>
  <c r="H23" i="2"/>
  <c r="H24" i="2"/>
  <c r="H13" i="2"/>
  <c r="J14" i="2"/>
  <c r="J15" i="2"/>
  <c r="J16" i="2"/>
  <c r="J17" i="2"/>
  <c r="J18" i="2"/>
  <c r="J19" i="2"/>
  <c r="J20" i="2"/>
  <c r="J21" i="2"/>
  <c r="J22" i="2"/>
  <c r="J23" i="2"/>
  <c r="J24" i="2"/>
  <c r="I14" i="2"/>
  <c r="I15" i="2"/>
  <c r="B12" i="4" s="1"/>
  <c r="I16" i="2"/>
  <c r="B13" i="4" s="1"/>
  <c r="I17" i="2"/>
  <c r="B14" i="4" s="1"/>
  <c r="I18" i="2"/>
  <c r="B15" i="4" s="1"/>
  <c r="I19" i="2"/>
  <c r="B16" i="4" s="1"/>
  <c r="I20" i="2"/>
  <c r="B17" i="4" s="1"/>
  <c r="I21" i="2"/>
  <c r="B18" i="4" s="1"/>
  <c r="I22" i="2"/>
  <c r="B19" i="4" s="1"/>
  <c r="I23" i="2"/>
  <c r="B20" i="4" s="1"/>
  <c r="I24" i="2"/>
  <c r="E25" i="2"/>
  <c r="D25" i="2"/>
  <c r="C25" i="2"/>
  <c r="D22" i="4"/>
  <c r="B8" i="5"/>
  <c r="D8" i="5" s="1"/>
  <c r="B9" i="5"/>
  <c r="D9" i="5" s="1"/>
  <c r="B10" i="5"/>
  <c r="D10" i="5"/>
  <c r="B11" i="5"/>
  <c r="D11" i="5" s="1"/>
  <c r="B12" i="5"/>
  <c r="D12" i="5" s="1"/>
  <c r="B13" i="5"/>
  <c r="D13" i="5" s="1"/>
  <c r="B14" i="5"/>
  <c r="D14" i="5" s="1"/>
  <c r="B15" i="5"/>
  <c r="D15" i="5" s="1"/>
  <c r="B16" i="5"/>
  <c r="D16" i="5" s="1"/>
  <c r="B17" i="5"/>
  <c r="D17" i="5" s="1"/>
  <c r="B18" i="5"/>
  <c r="D18" i="5" s="1"/>
  <c r="B19" i="5"/>
  <c r="D19" i="5" s="1"/>
  <c r="C20" i="5"/>
  <c r="H25" i="2" l="1"/>
  <c r="H28" i="2" s="1"/>
  <c r="D20" i="5"/>
  <c r="B20" i="5"/>
  <c r="G7" i="2" l="1"/>
  <c r="G22" i="4" l="1"/>
  <c r="E26" i="2" l="1"/>
  <c r="E28" i="2" s="1"/>
  <c r="H11" i="4" l="1"/>
  <c r="F13" i="4" l="1"/>
  <c r="H13" i="4"/>
  <c r="B25" i="2" l="1"/>
  <c r="C26" i="2" s="1"/>
  <c r="C28" i="2" l="1"/>
  <c r="A2" i="5"/>
  <c r="E22" i="4"/>
  <c r="A2" i="4"/>
  <c r="G25" i="2"/>
  <c r="F25" i="2"/>
  <c r="H21" i="4"/>
  <c r="H20" i="4"/>
  <c r="H19" i="4"/>
  <c r="H17" i="4"/>
  <c r="H16" i="4"/>
  <c r="F14" i="4"/>
  <c r="H12" i="4"/>
  <c r="G26" i="2" l="1"/>
  <c r="G28" i="2" s="1"/>
  <c r="H15" i="4"/>
  <c r="F15" i="4"/>
  <c r="H14" i="4"/>
  <c r="F18" i="4"/>
  <c r="H18" i="4"/>
  <c r="F12" i="4"/>
  <c r="F16" i="4"/>
  <c r="F20" i="4"/>
  <c r="F19" i="4"/>
  <c r="F21" i="4"/>
  <c r="F17" i="4"/>
  <c r="H10" i="4"/>
  <c r="F11" i="4"/>
  <c r="H22" i="4" l="1"/>
  <c r="C22" i="4"/>
  <c r="B22" i="4"/>
  <c r="F10" i="4"/>
  <c r="F22" i="4" s="1"/>
</calcChain>
</file>

<file path=xl/sharedStrings.xml><?xml version="1.0" encoding="utf-8"?>
<sst xmlns="http://schemas.openxmlformats.org/spreadsheetml/2006/main" count="270" uniqueCount="202">
  <si>
    <t>PAPELES DE TRABAJO  3 A.N.G CIA. LTDA.</t>
  </si>
  <si>
    <t>MOVIMIENTO DE VENTAS</t>
  </si>
  <si>
    <t>ELABORADO POR</t>
  </si>
  <si>
    <t>FECHA</t>
  </si>
  <si>
    <t>REVISADO POR</t>
  </si>
  <si>
    <t>MES</t>
  </si>
  <si>
    <t>TOTAL</t>
  </si>
  <si>
    <t xml:space="preserve">DEBE  </t>
  </si>
  <si>
    <t>HABER</t>
  </si>
  <si>
    <t xml:space="preserve">DEBE </t>
  </si>
  <si>
    <t>ENERO</t>
  </si>
  <si>
    <t>FEBRERO</t>
  </si>
  <si>
    <t>MARZO</t>
  </si>
  <si>
    <t>ABRIL</t>
  </si>
  <si>
    <t>MAYO</t>
  </si>
  <si>
    <t>JUNIO</t>
  </si>
  <si>
    <t>JULIO</t>
  </si>
  <si>
    <t>AGOSTO</t>
  </si>
  <si>
    <t>SEPTIEMBRE</t>
  </si>
  <si>
    <t>OCTUBRE</t>
  </si>
  <si>
    <t>NOVIEMBRE</t>
  </si>
  <si>
    <t>DICIEMBRE</t>
  </si>
  <si>
    <t>Diferencia</t>
  </si>
  <si>
    <t>PAPELES DE TRABAJO  3 A.N.G ADMINISTRACION DE NEGOCIOS GERENCIALES CIA. LTDA.</t>
  </si>
  <si>
    <t xml:space="preserve">COMPROBACION DE PAGO DE IMPUESTO </t>
  </si>
  <si>
    <t>LIBROS CONTABLES VS DECLARACION</t>
  </si>
  <si>
    <t>MESES</t>
  </si>
  <si>
    <t>TOTAL INGRESOS DEL MAYOR</t>
  </si>
  <si>
    <t>según declaracion formul 104 (419)</t>
  </si>
  <si>
    <t>ingresos por reembolsos intermediarios (informativos) (434)</t>
  </si>
  <si>
    <t>DIFERENCIA</t>
  </si>
  <si>
    <t>INGRESOS</t>
  </si>
  <si>
    <t>OTROS ING (N/C)</t>
  </si>
  <si>
    <t>Declarado</t>
  </si>
  <si>
    <t>VENTAS</t>
  </si>
  <si>
    <t>SEGÚN DECLARACIONES</t>
  </si>
  <si>
    <t>VENTAS 0% ANEXO TL. RESUMEN EXPORTACIONES</t>
  </si>
  <si>
    <t>Comparativo anexos con declaraciones</t>
  </si>
  <si>
    <t>Balances</t>
  </si>
  <si>
    <t>Resolución n° NAC-DGERCGC16-00000096</t>
  </si>
  <si>
    <t>Art.2 Información sustentada en comprobantes electronicos que no deben ser reportados en el Anexos Transaccional Simplificado (ATS)</t>
  </si>
  <si>
    <t>Los sujetos pasivos que sean emisores de comprobantes de venta, retención y documentos complementarios bajo la modalidad electronica, SIEMPRE QUE IMPLEMENTEN EN SUS SISTEMAS LA VERSION DE TALES COMPROBANTES ELECTRONICOS, conforme a los requisitos adicionales de unicidad y especificaciones detalladas en los archivos "XML" y "XDS". que el Servicio de Rentas Internas publique en la ficha tecnica "version ATS" en la pagina WEB, no deberan registrar exclusivamente en los modulos compras y ventas de Anexo (ATS) la información que conste en dichos comprobantes electronicos</t>
  </si>
  <si>
    <t>.</t>
  </si>
  <si>
    <t>DEBE</t>
  </si>
  <si>
    <t>K.B</t>
  </si>
  <si>
    <t>VENTAS SEGÚN REPORTES(NO MAYORES)</t>
  </si>
  <si>
    <t>3 A.N.G ADMINISTRACIÓN DE NEGOCIOS GERENCIALES CÍA. LTDA.</t>
  </si>
  <si>
    <t>REPORTE DIARIO DE TRABAJO</t>
  </si>
  <si>
    <t>FECHA:</t>
  </si>
  <si>
    <t>Preliminar:</t>
  </si>
  <si>
    <t>Final:</t>
  </si>
  <si>
    <t>GUIA:</t>
  </si>
  <si>
    <t xml:space="preserve">Integro/Reintegro </t>
  </si>
  <si>
    <t>EMPRESA:</t>
  </si>
  <si>
    <t>ELABORADO POR:</t>
  </si>
  <si>
    <t>K.B.</t>
  </si>
  <si>
    <t>REVISADO POR:</t>
  </si>
  <si>
    <t>R.C.</t>
  </si>
  <si>
    <t>APROBADO POR:</t>
  </si>
  <si>
    <t>PERIODO :</t>
  </si>
  <si>
    <t>ÁREA:</t>
  </si>
  <si>
    <t>(600) Ventas Netas</t>
  </si>
  <si>
    <t>MONTO DEL ÁREA:</t>
  </si>
  <si>
    <t>CUENTA:</t>
  </si>
  <si>
    <t>CÓDIGO</t>
  </si>
  <si>
    <t>DESCRIPCIÓN</t>
  </si>
  <si>
    <t>VALOR</t>
  </si>
  <si>
    <t>MONTO DE CUENTA:</t>
  </si>
  <si>
    <t>ALCANCE:</t>
  </si>
  <si>
    <t>MATERIALIDAD:</t>
  </si>
  <si>
    <t>RIESGO:</t>
  </si>
  <si>
    <t>ALTO:</t>
  </si>
  <si>
    <t>MEDIO:</t>
  </si>
  <si>
    <t>(X)</t>
  </si>
  <si>
    <t>BAJO:</t>
  </si>
  <si>
    <t>TIPO DE PRUEBA:</t>
  </si>
  <si>
    <t>Análisis, Cumplimiento y Sustantivas</t>
  </si>
  <si>
    <t>ASEVERACIÓN:</t>
  </si>
  <si>
    <t>Integridad y Exactitud</t>
  </si>
  <si>
    <t>TIEMPO ESTIMADO:</t>
  </si>
  <si>
    <t>HORAS</t>
  </si>
  <si>
    <t>NARRATIVA DE LA PRUEBA</t>
  </si>
  <si>
    <t>Representan los ingresos prevenientes de las operaciones normales de la empresa por la enajenacion de bienes o srvicios, deducidos de las devoluciones recibidas y las rebajadas y descuentos concedidos sobre dichos ingresos</t>
  </si>
  <si>
    <t xml:space="preserve">NIA </t>
  </si>
  <si>
    <t>530ni</t>
  </si>
  <si>
    <t>NOMBRE NIA</t>
  </si>
  <si>
    <t>MUESTREO DE AUDITORIA</t>
  </si>
  <si>
    <t>NIA PARRAFO:</t>
  </si>
  <si>
    <t>La norma internacional de auditoria 530 trata del uso del muestreo de auditoria estadístico y no estadístico cuando el auditor ha decidido usar muestreo de auditoria. Esto implica el diseño y selección de la muestra de auditoria, desarrollando pruebas de control y pruebas de detalle, evaluando los resultados de la muestra.</t>
  </si>
  <si>
    <t>PYMES, NIIF NIC:</t>
  </si>
  <si>
    <t>NIIF  PYMES:</t>
  </si>
  <si>
    <t>NIIF FULL:</t>
  </si>
  <si>
    <t>NORMA CONTAB.</t>
  </si>
  <si>
    <t>NIIF PYMES</t>
  </si>
  <si>
    <t>DETALLE SECCIÓN:</t>
  </si>
  <si>
    <t>NIIF COMPLETAS</t>
  </si>
  <si>
    <t>DETALLE NIIF:</t>
  </si>
  <si>
    <t>4.1.01</t>
  </si>
  <si>
    <t>Venta de bienes</t>
  </si>
  <si>
    <t>4.1.08</t>
  </si>
  <si>
    <t>Otros ingresos de actividades ordinarias</t>
  </si>
  <si>
    <t>4.1.09</t>
  </si>
  <si>
    <t>(-)Descuentos en ventas</t>
  </si>
  <si>
    <t>OTROS ING.</t>
  </si>
  <si>
    <t>VENTAS B.</t>
  </si>
  <si>
    <t>mediante el proceso de revicion al area de ingresos comparados con libros mayores se observo que la cuenta 4.1.01.01. de $945,427.46 no cuentan con diarios en el mayor.</t>
  </si>
  <si>
    <t>NOTA</t>
  </si>
  <si>
    <t>PT AL 31 DE DICIEMBRE DEL 2023</t>
  </si>
  <si>
    <t>empresa ***</t>
  </si>
  <si>
    <t>E.P</t>
  </si>
  <si>
    <t>E.P.</t>
  </si>
  <si>
    <t>01 ENERO 2023 al 31 de DICIEMBRE Del 2023</t>
  </si>
  <si>
    <t>3 ANG ADMINISTRACIÓN DE NEGOCIOS GERENCIALES CÍA LTDA.</t>
  </si>
  <si>
    <t>PROGRAMA DE AUDITORÍA SOBRE LOS ESTADOS FINANCIEROS</t>
  </si>
  <si>
    <t>P-600</t>
  </si>
  <si>
    <t>REF P.T</t>
  </si>
  <si>
    <t xml:space="preserve">CLIENTE:             </t>
  </si>
  <si>
    <t>ABC</t>
  </si>
  <si>
    <t xml:space="preserve">PERIODO:      </t>
  </si>
  <si>
    <t>Desde el 01 de enero al 31 de Diciembre del 2023</t>
  </si>
  <si>
    <t>Final</t>
  </si>
  <si>
    <t>ÁREA</t>
  </si>
  <si>
    <t>INGRESOS - VENTAS</t>
  </si>
  <si>
    <t>(x)</t>
  </si>
  <si>
    <t>Aprobado</t>
  </si>
  <si>
    <t>Firma y sello</t>
  </si>
  <si>
    <t xml:space="preserve">ELABORADO POR: </t>
  </si>
  <si>
    <t>Elizabeth Palacios</t>
  </si>
  <si>
    <t>R.C</t>
  </si>
  <si>
    <t>Roy Cisneros</t>
  </si>
  <si>
    <t>OBJETIVOS:</t>
  </si>
  <si>
    <t>Determinación de la autenticidad de las ventas que se presentan en el Estado de Resultados.</t>
  </si>
  <si>
    <t>Las ventas están debidamente registradas por su importe y cuentan en los registros financieros correspondientes</t>
  </si>
  <si>
    <t>Verificación de la valuación de los ingresos obtenidos o servicios prestados, en función de los activos y pasivos que modifican; Verificación de que los costos registrados correspondan a los ingresos obtenidos.Verificación de la inclusión en el Estado de Resultados, de la totalidad de los resultados obtenidos en el período correspondiente.</t>
  </si>
  <si>
    <t>REFERENCIAS</t>
  </si>
  <si>
    <t>REVISIÓN</t>
  </si>
  <si>
    <t>TIPO DE PRUEBA</t>
  </si>
  <si>
    <t>E</t>
  </si>
  <si>
    <t>Existencia u ocurrencia</t>
  </si>
  <si>
    <r>
      <rPr>
        <b/>
        <sz val="10"/>
        <color rgb="FFFF0000"/>
        <rFont val="Times New Roman"/>
        <family val="1"/>
      </rPr>
      <t xml:space="preserve">V  </t>
    </r>
    <r>
      <rPr>
        <sz val="10"/>
        <color theme="1"/>
        <rFont val="Times New Roman"/>
        <family val="1"/>
      </rPr>
      <t xml:space="preserve"> Valuacion</t>
    </r>
  </si>
  <si>
    <t>✓</t>
  </si>
  <si>
    <t>Preliminar</t>
  </si>
  <si>
    <t>Pruebas Suntantivos.</t>
  </si>
  <si>
    <t>I</t>
  </si>
  <si>
    <t>Integridad o totalidad</t>
  </si>
  <si>
    <r>
      <rPr>
        <b/>
        <sz val="10"/>
        <color rgb="FFFF0000"/>
        <rFont val="Times New Roman"/>
        <family val="1"/>
      </rPr>
      <t xml:space="preserve">P   </t>
    </r>
    <r>
      <rPr>
        <sz val="10"/>
        <color theme="1"/>
        <rFont val="Times New Roman"/>
        <family val="1"/>
      </rPr>
      <t xml:space="preserve"> Presentación y divulgación</t>
    </r>
  </si>
  <si>
    <t>D</t>
  </si>
  <si>
    <t>. Pruebas Suntantivas de Detalle.</t>
  </si>
  <si>
    <t>Derechos y obligaciones</t>
  </si>
  <si>
    <r>
      <rPr>
        <b/>
        <sz val="10"/>
        <color rgb="FFFF0000"/>
        <rFont val="Times New Roman"/>
        <family val="1"/>
      </rPr>
      <t>P1</t>
    </r>
    <r>
      <rPr>
        <sz val="10"/>
        <color theme="1"/>
        <rFont val="Times New Roman"/>
        <family val="1"/>
      </rPr>
      <t xml:space="preserve">   Período</t>
    </r>
  </si>
  <si>
    <t>Prel y Final</t>
  </si>
  <si>
    <t>A</t>
  </si>
  <si>
    <t>. Pruebas Suntantivas Analíticas</t>
  </si>
  <si>
    <r>
      <rPr>
        <b/>
        <sz val="10"/>
        <color rgb="FFFF0000"/>
        <rFont val="Times New Roman"/>
        <family val="1"/>
      </rPr>
      <t xml:space="preserve">C  </t>
    </r>
    <r>
      <rPr>
        <sz val="10"/>
        <color theme="1"/>
        <rFont val="Times New Roman"/>
        <family val="1"/>
      </rPr>
      <t xml:space="preserve"> Clasificación</t>
    </r>
  </si>
  <si>
    <t>C</t>
  </si>
  <si>
    <t>Pruebas de Control o Cumplimiento.</t>
  </si>
  <si>
    <t>PROCEDIMIENTOS</t>
  </si>
  <si>
    <t>ASEVERACIÓN</t>
  </si>
  <si>
    <t>REFERENCIA P. T</t>
  </si>
  <si>
    <t>PRUEBAS</t>
  </si>
  <si>
    <t>V</t>
  </si>
  <si>
    <t>P</t>
  </si>
  <si>
    <t>P1</t>
  </si>
  <si>
    <t xml:space="preserve">REALIZAR SUMARIA </t>
  </si>
  <si>
    <t>600-</t>
  </si>
  <si>
    <t>Actualice el memorando que describe el control interno existente en esta sección y concluya si es satisfactorio o no.</t>
  </si>
  <si>
    <t>Obtener un detalle de las ventas realizadas hasta la fecha de corte.</t>
  </si>
  <si>
    <t>Realice un cálculo global de ventas, para lo cual obtenga los movimientos en cantidades de los servicios prestados, determine su código, concepto, valor facturable en el período analizado.</t>
  </si>
  <si>
    <t>Realizar un corte documentario que incluya las ultimas y primeras facturas emitidas en el período anterior y el actual respectivamente.</t>
  </si>
  <si>
    <t>Cotejar las ventas mensuales con el presupuesto de ingresos preparado por Gerencia.</t>
  </si>
  <si>
    <t>Comentar si la compañía incrementó sus ventas en relación con el período anterior, y explique por qué su variación.</t>
  </si>
  <si>
    <t xml:space="preserve">Realizar una prueba de acumulación de ingresos que consiste en efectuar una sumatoria de las facturas emitidas en los meses que mayor movimiento tenga dentro del período analizado. </t>
  </si>
  <si>
    <t>Coteje los resultados obtenidos contra registros contables, determine diferencias significativas y explique variaciones.</t>
  </si>
  <si>
    <t>Elabore la cédula resumen de ventas y devoluciones por meses.</t>
  </si>
  <si>
    <t>Explique variaciones entre meses.</t>
  </si>
  <si>
    <t>Partiendo de los créditos a los auxiliares de inventarios compruebe que estén amparados con documentos de embarque y que se facturaron al cliente.</t>
  </si>
  <si>
    <t>Si los créditos a inventarios se hacen por concentración, revisarla como enlace entre salidas y facturación.</t>
  </si>
  <si>
    <t>Cerciórese de que las facturas estén registradas correctamente en el libro o resumen de ventas.</t>
  </si>
  <si>
    <t>Compruebe precios de venta descuentos y condiciones contra pedidos y listas de precios de venta autorizados.</t>
  </si>
  <si>
    <t>Compruebe la progresividad numérica de las facturas expedidas en un período.</t>
  </si>
  <si>
    <t>Identifique en las tiras de la máquina sumadora las facturas y las notas de crédito que seleccionó para las pruebas de procedimiento.</t>
  </si>
  <si>
    <t>Revisar que las facturas cancelas existan en el consecutivo fiscal, el original y todas sus copias anexas debidamente inutilizadas.</t>
  </si>
  <si>
    <t>Efectúe el corte de todas las formas numeradas relativas a los ingresos.</t>
  </si>
  <si>
    <t>Obtener un detalle de las ventas realizadas en los meses sujetos a revisión.</t>
  </si>
  <si>
    <t xml:space="preserve">Realizar una prueba de acumulación de ingresos que consiste en efectuar una sumatoria de las facturas emitidas, del mes de diciembre </t>
  </si>
  <si>
    <t>Verificar que las ventas registradas correspondan al período auditado y que al cierre del período no se incluyan ventas del siguiente ejercicio económico.</t>
  </si>
  <si>
    <t>Estudie las variaciones existentes de la fecha de la preliminar a la fecha del cierre, analice y amplíe el alcance si el encargado lo considera necesario.</t>
  </si>
  <si>
    <t>Concluya en la sumaria sobre los objetivos de la sección.</t>
  </si>
  <si>
    <t>CONCLUSIÓN DEL ÁREA</t>
  </si>
  <si>
    <t>600-1</t>
  </si>
  <si>
    <t>XXXXX</t>
  </si>
  <si>
    <t>Desde el 01 de Enero 2023 al 31 de Diciembre del 2023</t>
  </si>
  <si>
    <t>4.1.1.</t>
  </si>
  <si>
    <t>ventas 0%</t>
  </si>
  <si>
    <t>ventas 12%</t>
  </si>
  <si>
    <t>¿¿</t>
  </si>
  <si>
    <t>¿¿¿</t>
  </si>
  <si>
    <t xml:space="preserve">Sección 23 Ingresos de Actividades Ordinarias </t>
  </si>
  <si>
    <t>¿¿¿¿¿¿</t>
  </si>
  <si>
    <t>Esta Sección se aplicará al contabilizar ingresos de actividades ordinarias procedentes de las siguientes transacciones y sucesos:
(a) La venta de bienes (si los produce o no la entidad para su venta o los adquiere para su reventa).
(b) La prestación de servicios.
(c) Los contratos de construcción en los que la entidad es el contratista.
(d) El uso, por parte de terceros, de activos de la entidad que produzcan intereses, regalías o dividendos.</t>
  </si>
  <si>
    <t>NIIF 15 INGRESOS DE ACTIVIDADES ORDINARIAS</t>
  </si>
  <si>
    <t xml:space="preserve">Los ingresos de actividades ordinarias procedentes de la venta de bienes deben ser reconocidos y registrados en los estados financieros cuando se cumplen todas y cada una de las siguientes condiciones:
(a) la entidad ha transferido al comprador los riesgos y ventajas, de tipo significativo, derivados de la propiedad de los bienes;
(b) la entidad no conserva para sí ninguna implicación en la gestión corriente de los bienes vendidos, en el grado usualmente asociado con la propiedad, ni retiene el control efectivo sobre los mismos;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</si>
</sst>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_-* #,##0.00\ _€_-;\-* #,##0.00\ _€_-;_-* &quot;-&quot;??\ _€_-;_-@_-"/>
    <numFmt numFmtId="166" formatCode="_-* #,##0.0\ _€_-;\-* #,##0.0\ _€_-;_-* &quot;-&quot;??\ _€_-;_-@_-"/>
    <numFmt numFmtId="167" formatCode="#,##0.00_ ;\-#,##0.00\ "/>
    <numFmt numFmtId="168" formatCode="_(&quot;$&quot;\ * #,##0.00_);_(&quot;$&quot;\ * \(#,##0.00\);_(&quot;$&quot;\ * &quot;-&quot;??_);_(@_)"/>
  </numFmts>
  <fonts count="5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Arial"/>
      <family val="2"/>
    </font>
    <font>
      <b/>
      <sz val="10"/>
      <name val="Arial"/>
      <family val="2"/>
    </font>
    <font>
      <sz val="10"/>
      <name val="Arial"/>
      <family val="2"/>
    </font>
    <font>
      <b/>
      <sz val="9"/>
      <color theme="1"/>
      <name val="Calibri"/>
      <family val="2"/>
      <scheme val="minor"/>
    </font>
    <font>
      <sz val="16"/>
      <name val="Arial"/>
      <family val="2"/>
    </font>
    <font>
      <u/>
      <sz val="14"/>
      <name val="Arial"/>
      <family val="2"/>
    </font>
    <font>
      <b/>
      <i/>
      <sz val="10"/>
      <name val="Arial"/>
      <family val="2"/>
    </font>
    <font>
      <b/>
      <sz val="8"/>
      <name val="Arial"/>
      <family val="2"/>
    </font>
    <font>
      <b/>
      <sz val="17"/>
      <color theme="1"/>
      <name val="Calibri"/>
      <family val="2"/>
      <scheme val="minor"/>
    </font>
    <font>
      <b/>
      <sz val="16"/>
      <color theme="1"/>
      <name val="Calibri"/>
      <family val="2"/>
      <scheme val="minor"/>
    </font>
    <font>
      <b/>
      <sz val="20"/>
      <color theme="1"/>
      <name val="Calibri"/>
      <family val="2"/>
      <scheme val="minor"/>
    </font>
    <font>
      <b/>
      <sz val="10"/>
      <color theme="1"/>
      <name val="Calibri"/>
      <family val="2"/>
      <scheme val="minor"/>
    </font>
    <font>
      <u/>
      <sz val="10"/>
      <color theme="10"/>
      <name val="Arial"/>
      <family val="2"/>
    </font>
    <font>
      <sz val="10"/>
      <name val="Cambria"/>
      <family val="1"/>
      <scheme val="major"/>
    </font>
    <font>
      <b/>
      <sz val="10"/>
      <name val="Cambria"/>
      <family val="1"/>
      <scheme val="major"/>
    </font>
    <font>
      <b/>
      <sz val="12"/>
      <name val="Cambria"/>
      <family val="1"/>
      <scheme val="major"/>
    </font>
    <font>
      <sz val="12"/>
      <name val="Cambria"/>
      <family val="1"/>
      <scheme val="major"/>
    </font>
    <font>
      <b/>
      <sz val="16"/>
      <name val="Cambria"/>
      <family val="1"/>
      <scheme val="major"/>
    </font>
    <font>
      <sz val="8"/>
      <name val="Cambria"/>
      <family val="1"/>
      <scheme val="major"/>
    </font>
    <font>
      <sz val="16"/>
      <name val="Cambria"/>
      <family val="1"/>
      <scheme val="major"/>
    </font>
    <font>
      <sz val="12"/>
      <color theme="1"/>
      <name val="Cambria"/>
      <family val="1"/>
      <scheme val="major"/>
    </font>
    <font>
      <sz val="15"/>
      <name val="Arial"/>
      <family val="2"/>
    </font>
    <font>
      <sz val="12"/>
      <name val="Times New Roman"/>
      <family val="1"/>
    </font>
    <font>
      <b/>
      <sz val="15"/>
      <name val="Times New Roman"/>
      <family val="1"/>
    </font>
    <font>
      <b/>
      <sz val="16"/>
      <color rgb="FFFF0000"/>
      <name val="Times New Roman"/>
      <family val="1"/>
    </font>
    <font>
      <sz val="12"/>
      <color indexed="62"/>
      <name val="Times New Roman"/>
      <family val="1"/>
    </font>
    <font>
      <b/>
      <sz val="12"/>
      <name val="Times New Roman"/>
      <family val="1"/>
    </font>
    <font>
      <b/>
      <sz val="12"/>
      <color rgb="FFFF0000"/>
      <name val="Times New Roman"/>
      <family val="1"/>
    </font>
    <font>
      <sz val="12"/>
      <color theme="1"/>
      <name val="Times New Roman"/>
      <family val="1"/>
    </font>
    <font>
      <b/>
      <u/>
      <sz val="12"/>
      <name val="Times New Roman"/>
      <family val="1"/>
    </font>
    <font>
      <sz val="12"/>
      <color rgb="FFFF0000"/>
      <name val="Times New Roman"/>
      <family val="1"/>
    </font>
    <font>
      <sz val="11"/>
      <name val="Arial"/>
      <family val="2"/>
    </font>
    <font>
      <b/>
      <sz val="10"/>
      <color rgb="FFFF0000"/>
      <name val="Arial"/>
      <family val="2"/>
    </font>
    <font>
      <sz val="12"/>
      <color theme="1"/>
      <name val="Calibri"/>
      <family val="2"/>
      <scheme val="minor"/>
    </font>
    <font>
      <b/>
      <sz val="16"/>
      <color rgb="FF002060"/>
      <name val="Cambria"/>
      <family val="2"/>
      <scheme val="major"/>
    </font>
    <font>
      <b/>
      <sz val="30"/>
      <color rgb="FFFF0000"/>
      <name val="Arial Black"/>
      <family val="2"/>
    </font>
    <font>
      <b/>
      <sz val="14"/>
      <color rgb="FF002060"/>
      <name val="Cambria"/>
      <family val="2"/>
      <scheme val="major"/>
    </font>
    <font>
      <b/>
      <sz val="12"/>
      <color theme="1"/>
      <name val="Times New Roman"/>
      <family val="1"/>
    </font>
    <font>
      <i/>
      <sz val="10"/>
      <color theme="1"/>
      <name val="Cambria"/>
      <family val="2"/>
      <scheme val="major"/>
    </font>
    <font>
      <sz val="11"/>
      <color theme="1"/>
      <name val="Times New Roman"/>
      <family val="1"/>
    </font>
    <font>
      <b/>
      <sz val="11"/>
      <color theme="1"/>
      <name val="Times New Roman"/>
      <family val="1"/>
    </font>
    <font>
      <b/>
      <u/>
      <sz val="10"/>
      <color rgb="FFFF0000"/>
      <name val="Times New Roman"/>
      <family val="1"/>
    </font>
    <font>
      <sz val="10"/>
      <color theme="1"/>
      <name val="Times New Roman"/>
      <family val="1"/>
    </font>
    <font>
      <b/>
      <sz val="10"/>
      <color rgb="FFFF0000"/>
      <name val="Times New Roman"/>
      <family val="1"/>
    </font>
    <font>
      <sz val="11"/>
      <color rgb="FFFF0000"/>
      <name val="Arial"/>
      <family val="2"/>
    </font>
    <font>
      <sz val="10"/>
      <name val="Times New Roman"/>
      <family val="1"/>
    </font>
    <font>
      <b/>
      <u/>
      <sz val="10"/>
      <name val="Times New Roman"/>
      <family val="1"/>
    </font>
    <font>
      <b/>
      <sz val="10"/>
      <color theme="1"/>
      <name val="Times New Roman"/>
      <family val="1"/>
    </font>
  </fonts>
  <fills count="6">
    <fill>
      <patternFill patternType="none"/>
    </fill>
    <fill>
      <patternFill patternType="gray125"/>
    </fill>
    <fill>
      <patternFill patternType="solid">
        <fgColor rgb="FF92D050"/>
        <bgColor indexed="64"/>
      </patternFill>
    </fill>
    <fill>
      <patternFill patternType="solid">
        <fgColor theme="8" tint="0.79998168889431442"/>
        <bgColor indexed="64"/>
      </patternFill>
    </fill>
    <fill>
      <patternFill patternType="solid">
        <fgColor rgb="FFFF0066"/>
        <bgColor indexed="64"/>
      </patternFill>
    </fill>
    <fill>
      <patternFill patternType="solid">
        <fgColor rgb="FFFFFF00"/>
        <bgColor indexed="64"/>
      </patternFill>
    </fill>
  </fills>
  <borders count="5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right/>
      <top style="thin">
        <color indexed="64"/>
      </top>
      <bottom style="double">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s>
  <cellStyleXfs count="15">
    <xf numFmtId="0" fontId="0" fillId="0" borderId="0"/>
    <xf numFmtId="165" fontId="5" fillId="0" borderId="0" applyFont="0" applyFill="0" applyBorder="0" applyAlignment="0" applyProtection="0"/>
    <xf numFmtId="0" fontId="3" fillId="0" borderId="0"/>
    <xf numFmtId="164" fontId="3" fillId="0" borderId="0" applyFont="0" applyFill="0" applyBorder="0" applyAlignment="0" applyProtection="0"/>
    <xf numFmtId="0" fontId="8" fillId="0" borderId="0"/>
    <xf numFmtId="0" fontId="8" fillId="0" borderId="0"/>
    <xf numFmtId="0" fontId="3" fillId="0" borderId="0"/>
    <xf numFmtId="0" fontId="5" fillId="0" borderId="0"/>
    <xf numFmtId="0" fontId="2" fillId="0" borderId="0"/>
    <xf numFmtId="0" fontId="18" fillId="0" borderId="0" applyNumberFormat="0" applyFill="0" applyBorder="0" applyAlignment="0" applyProtection="0"/>
    <xf numFmtId="0" fontId="1" fillId="0" borderId="0"/>
    <xf numFmtId="0" fontId="5" fillId="0" borderId="0"/>
    <xf numFmtId="164" fontId="1" fillId="0" borderId="0" applyFont="0" applyFill="0" applyBorder="0" applyAlignment="0" applyProtection="0"/>
    <xf numFmtId="168" fontId="1" fillId="0" borderId="0" applyFont="0" applyFill="0" applyBorder="0" applyAlignment="0" applyProtection="0"/>
    <xf numFmtId="9" fontId="1" fillId="0" borderId="0" applyFont="0" applyFill="0" applyBorder="0" applyAlignment="0" applyProtection="0"/>
  </cellStyleXfs>
  <cellXfs count="355">
    <xf numFmtId="0" fontId="0" fillId="0" borderId="0" xfId="0"/>
    <xf numFmtId="0" fontId="0" fillId="0" borderId="0" xfId="0" applyBorder="1"/>
    <xf numFmtId="165" fontId="0" fillId="0" borderId="0" xfId="1" applyFont="1" applyBorder="1"/>
    <xf numFmtId="165" fontId="0" fillId="0" borderId="0" xfId="1" applyFont="1"/>
    <xf numFmtId="165" fontId="8" fillId="0" borderId="0" xfId="1" applyFont="1"/>
    <xf numFmtId="0" fontId="8" fillId="0" borderId="0" xfId="0" applyFont="1"/>
    <xf numFmtId="165" fontId="0" fillId="0" borderId="0" xfId="0" applyNumberFormat="1"/>
    <xf numFmtId="165" fontId="0" fillId="0" borderId="21" xfId="1" applyFont="1" applyBorder="1"/>
    <xf numFmtId="0" fontId="6" fillId="0" borderId="0" xfId="0" applyFont="1" applyBorder="1" applyAlignment="1">
      <alignment vertical="center" wrapText="1"/>
    </xf>
    <xf numFmtId="0" fontId="10" fillId="0" borderId="0" xfId="0" applyFont="1"/>
    <xf numFmtId="0" fontId="10" fillId="0" borderId="0" xfId="0" applyFont="1" applyAlignment="1">
      <alignment horizontal="center"/>
    </xf>
    <xf numFmtId="0" fontId="12" fillId="3" borderId="15" xfId="0" applyFont="1" applyFill="1" applyBorder="1" applyAlignment="1">
      <alignment horizontal="center" vertical="center" wrapText="1"/>
    </xf>
    <xf numFmtId="165" fontId="12" fillId="2" borderId="19" xfId="1" applyFont="1" applyFill="1" applyBorder="1" applyAlignment="1">
      <alignment horizontal="center" vertical="center"/>
    </xf>
    <xf numFmtId="0" fontId="12" fillId="3" borderId="18" xfId="0" applyFont="1" applyFill="1" applyBorder="1" applyAlignment="1">
      <alignment horizontal="center" vertical="center"/>
    </xf>
    <xf numFmtId="0" fontId="7" fillId="0" borderId="0" xfId="0" applyFont="1"/>
    <xf numFmtId="0" fontId="7" fillId="0" borderId="8" xfId="0" applyFont="1" applyBorder="1"/>
    <xf numFmtId="165" fontId="7" fillId="0" borderId="14" xfId="1" applyFont="1" applyBorder="1"/>
    <xf numFmtId="4" fontId="0" fillId="0" borderId="0" xfId="0" applyNumberFormat="1"/>
    <xf numFmtId="165" fontId="16" fillId="0" borderId="0" xfId="1" applyFont="1" applyAlignment="1"/>
    <xf numFmtId="1" fontId="0" fillId="0" borderId="0" xfId="1" applyNumberFormat="1" applyFont="1" applyBorder="1"/>
    <xf numFmtId="165" fontId="17" fillId="0" borderId="0" xfId="1" applyFont="1" applyBorder="1" applyAlignment="1">
      <alignment horizontal="center" vertical="center" wrapText="1"/>
    </xf>
    <xf numFmtId="165" fontId="17" fillId="0" borderId="0" xfId="1" applyFont="1" applyBorder="1" applyAlignment="1">
      <alignment vertical="center" wrapText="1"/>
    </xf>
    <xf numFmtId="0" fontId="17" fillId="0" borderId="0" xfId="0" applyFont="1" applyAlignment="1">
      <alignment horizontal="center" vertical="center" wrapText="1"/>
    </xf>
    <xf numFmtId="165" fontId="17" fillId="0" borderId="14" xfId="1" applyFont="1" applyBorder="1" applyAlignment="1">
      <alignment horizontal="center" vertical="center" wrapText="1"/>
    </xf>
    <xf numFmtId="165" fontId="17" fillId="0" borderId="0" xfId="1" applyFont="1" applyAlignment="1">
      <alignment horizontal="center" vertical="center" wrapText="1"/>
    </xf>
    <xf numFmtId="165" fontId="9" fillId="0" borderId="14" xfId="1" applyFont="1" applyBorder="1" applyAlignment="1">
      <alignment horizontal="center" vertical="center" wrapText="1"/>
    </xf>
    <xf numFmtId="0" fontId="17" fillId="0" borderId="0" xfId="0" applyFont="1" applyBorder="1" applyAlignment="1">
      <alignment horizontal="center" vertical="center" wrapText="1"/>
    </xf>
    <xf numFmtId="165" fontId="0" fillId="0" borderId="24" xfId="1" applyFont="1" applyBorder="1"/>
    <xf numFmtId="165" fontId="0" fillId="0" borderId="15" xfId="1" applyFont="1" applyBorder="1"/>
    <xf numFmtId="165" fontId="0" fillId="0" borderId="17" xfId="1" applyFont="1" applyBorder="1"/>
    <xf numFmtId="165" fontId="8" fillId="0" borderId="24" xfId="1" applyFont="1" applyBorder="1"/>
    <xf numFmtId="165" fontId="0" fillId="0" borderId="18" xfId="1" applyFont="1" applyBorder="1"/>
    <xf numFmtId="165" fontId="4" fillId="0" borderId="14" xfId="1" applyFont="1" applyBorder="1"/>
    <xf numFmtId="165" fontId="4" fillId="0" borderId="0" xfId="1" applyFont="1" applyBorder="1"/>
    <xf numFmtId="0" fontId="0" fillId="0" borderId="0" xfId="0" applyFill="1" applyBorder="1"/>
    <xf numFmtId="165" fontId="0" fillId="0" borderId="0" xfId="1" applyFont="1" applyFill="1" applyBorder="1"/>
    <xf numFmtId="165" fontId="8" fillId="0" borderId="17" xfId="1" applyFont="1" applyBorder="1"/>
    <xf numFmtId="165" fontId="8" fillId="0" borderId="25" xfId="1" applyFont="1" applyBorder="1"/>
    <xf numFmtId="165" fontId="8" fillId="0" borderId="13" xfId="1" applyFont="1" applyBorder="1"/>
    <xf numFmtId="165" fontId="8" fillId="0" borderId="18" xfId="1" applyFont="1" applyBorder="1"/>
    <xf numFmtId="0" fontId="0" fillId="0" borderId="0" xfId="0" applyAlignment="1">
      <alignment wrapText="1"/>
    </xf>
    <xf numFmtId="0" fontId="19" fillId="0" borderId="0" xfId="0" applyFont="1" applyBorder="1"/>
    <xf numFmtId="0" fontId="19" fillId="0" borderId="0" xfId="0" applyFont="1"/>
    <xf numFmtId="0" fontId="21" fillId="0" borderId="4" xfId="0" applyFont="1" applyBorder="1"/>
    <xf numFmtId="0" fontId="21" fillId="0" borderId="10" xfId="0" applyFont="1" applyBorder="1" applyAlignment="1">
      <alignment horizontal="center"/>
    </xf>
    <xf numFmtId="0" fontId="21" fillId="0" borderId="0" xfId="0" applyFont="1" applyBorder="1"/>
    <xf numFmtId="0" fontId="19" fillId="0" borderId="4" xfId="0" applyFont="1" applyBorder="1"/>
    <xf numFmtId="165" fontId="19" fillId="0" borderId="0" xfId="1" applyFont="1"/>
    <xf numFmtId="165" fontId="20" fillId="0" borderId="0" xfId="1" applyFont="1" applyBorder="1"/>
    <xf numFmtId="164" fontId="19" fillId="0" borderId="0" xfId="0" applyNumberFormat="1" applyFont="1"/>
    <xf numFmtId="165" fontId="24" fillId="0" borderId="0" xfId="1" applyFont="1"/>
    <xf numFmtId="165" fontId="19" fillId="0" borderId="0" xfId="1" applyFont="1" applyBorder="1"/>
    <xf numFmtId="0" fontId="20" fillId="0" borderId="0" xfId="0" applyFont="1" applyBorder="1"/>
    <xf numFmtId="165" fontId="20" fillId="0" borderId="0" xfId="0" applyNumberFormat="1" applyFont="1"/>
    <xf numFmtId="164" fontId="20" fillId="0" borderId="0" xfId="0" applyNumberFormat="1" applyFont="1"/>
    <xf numFmtId="0" fontId="25" fillId="0" borderId="0" xfId="0" applyFont="1" applyBorder="1"/>
    <xf numFmtId="0" fontId="25" fillId="0" borderId="0" xfId="0" applyFont="1"/>
    <xf numFmtId="0" fontId="23" fillId="0" borderId="4" xfId="0" applyFont="1" applyBorder="1" applyAlignment="1">
      <alignment horizontal="center"/>
    </xf>
    <xf numFmtId="0" fontId="23" fillId="0" borderId="0" xfId="0" applyFont="1" applyBorder="1" applyAlignment="1">
      <alignment horizontal="center"/>
    </xf>
    <xf numFmtId="0" fontId="25" fillId="0" borderId="5" xfId="0" applyFont="1" applyBorder="1"/>
    <xf numFmtId="0" fontId="25" fillId="0" borderId="10" xfId="0" applyFont="1" applyBorder="1"/>
    <xf numFmtId="0" fontId="25" fillId="0" borderId="7" xfId="0" applyFont="1" applyBorder="1"/>
    <xf numFmtId="0" fontId="25" fillId="0" borderId="6" xfId="0" applyFont="1" applyBorder="1"/>
    <xf numFmtId="0" fontId="22" fillId="0" borderId="0" xfId="0" applyFont="1" applyAlignment="1">
      <alignment vertical="center" wrapText="1"/>
    </xf>
    <xf numFmtId="0" fontId="22" fillId="0" borderId="0" xfId="0" applyFont="1"/>
    <xf numFmtId="0" fontId="21" fillId="0" borderId="1" xfId="0" applyFont="1" applyBorder="1" applyAlignment="1">
      <alignment horizontal="center"/>
    </xf>
    <xf numFmtId="0" fontId="21" fillId="0" borderId="12" xfId="0" applyFont="1" applyBorder="1" applyAlignment="1">
      <alignment horizontal="center"/>
    </xf>
    <xf numFmtId="0" fontId="21" fillId="0" borderId="22" xfId="0" applyFont="1" applyBorder="1" applyAlignment="1">
      <alignment horizontal="center"/>
    </xf>
    <xf numFmtId="0" fontId="21" fillId="0" borderId="26" xfId="0" applyFont="1" applyBorder="1" applyAlignment="1">
      <alignment horizontal="center"/>
    </xf>
    <xf numFmtId="0" fontId="22" fillId="0" borderId="12" xfId="0" applyFont="1" applyBorder="1" applyAlignment="1">
      <alignment horizontal="center"/>
    </xf>
    <xf numFmtId="0" fontId="22" fillId="0" borderId="0" xfId="0" applyFont="1" applyAlignment="1">
      <alignment horizontal="center"/>
    </xf>
    <xf numFmtId="0" fontId="22" fillId="0" borderId="15" xfId="0" applyFont="1" applyBorder="1"/>
    <xf numFmtId="165" fontId="22" fillId="0" borderId="15" xfId="1" applyFont="1" applyBorder="1" applyAlignment="1">
      <alignment vertical="center"/>
    </xf>
    <xf numFmtId="0" fontId="22" fillId="0" borderId="17" xfId="0" applyFont="1" applyBorder="1"/>
    <xf numFmtId="0" fontId="22" fillId="0" borderId="18" xfId="0" applyFont="1" applyBorder="1"/>
    <xf numFmtId="0" fontId="21" fillId="0" borderId="8" xfId="0" applyFont="1" applyBorder="1" applyAlignment="1">
      <alignment vertical="center"/>
    </xf>
    <xf numFmtId="165" fontId="21" fillId="0" borderId="14" xfId="1" applyFont="1" applyBorder="1" applyAlignment="1">
      <alignment vertical="center"/>
    </xf>
    <xf numFmtId="0" fontId="22" fillId="0" borderId="0" xfId="0" applyFont="1" applyAlignment="1">
      <alignment vertical="center"/>
    </xf>
    <xf numFmtId="165" fontId="22" fillId="0" borderId="3" xfId="1" applyFont="1" applyFill="1" applyBorder="1" applyAlignment="1">
      <alignment wrapText="1"/>
    </xf>
    <xf numFmtId="165" fontId="22" fillId="0" borderId="0" xfId="1" applyFont="1"/>
    <xf numFmtId="0" fontId="22" fillId="0" borderId="0" xfId="0" applyFont="1" applyBorder="1"/>
    <xf numFmtId="14" fontId="21" fillId="0" borderId="10" xfId="0" applyNumberFormat="1" applyFont="1" applyBorder="1" applyAlignment="1">
      <alignment horizontal="center"/>
    </xf>
    <xf numFmtId="165" fontId="22" fillId="0" borderId="0" xfId="0" applyNumberFormat="1" applyFont="1" applyBorder="1"/>
    <xf numFmtId="0" fontId="21" fillId="0" borderId="11" xfId="0" applyFont="1" applyBorder="1" applyAlignment="1">
      <alignment horizontal="center"/>
    </xf>
    <xf numFmtId="0" fontId="25" fillId="0" borderId="1" xfId="0" applyFont="1" applyBorder="1"/>
    <xf numFmtId="0" fontId="25" fillId="0" borderId="3" xfId="0" applyFont="1" applyBorder="1"/>
    <xf numFmtId="0" fontId="23" fillId="0" borderId="4" xfId="0" applyFont="1" applyBorder="1" applyAlignment="1"/>
    <xf numFmtId="167" fontId="7" fillId="0" borderId="14" xfId="1" applyNumberFormat="1" applyFont="1" applyBorder="1"/>
    <xf numFmtId="165" fontId="5" fillId="0" borderId="0" xfId="1" applyFont="1" applyBorder="1" applyAlignment="1">
      <alignment vertical="center"/>
    </xf>
    <xf numFmtId="0" fontId="5" fillId="0" borderId="0" xfId="0" applyFont="1" applyFill="1" applyBorder="1" applyAlignment="1">
      <alignment horizontal="center" vertical="center" wrapText="1"/>
    </xf>
    <xf numFmtId="14" fontId="21" fillId="0" borderId="5" xfId="0" applyNumberFormat="1" applyFont="1" applyBorder="1" applyAlignment="1">
      <alignment horizontal="center"/>
    </xf>
    <xf numFmtId="167" fontId="22" fillId="0" borderId="15" xfId="1" applyNumberFormat="1" applyFont="1" applyFill="1" applyBorder="1" applyAlignment="1">
      <alignment horizontal="right"/>
    </xf>
    <xf numFmtId="167" fontId="26" fillId="0" borderId="15" xfId="1" applyNumberFormat="1" applyFont="1" applyBorder="1" applyAlignment="1">
      <alignment horizontal="right" vertical="top" wrapText="1"/>
    </xf>
    <xf numFmtId="167" fontId="22" fillId="0" borderId="15" xfId="1" applyNumberFormat="1" applyFont="1" applyBorder="1" applyAlignment="1">
      <alignment horizontal="right"/>
    </xf>
    <xf numFmtId="167" fontId="22" fillId="0" borderId="12" xfId="1" applyNumberFormat="1" applyFont="1" applyBorder="1" applyAlignment="1">
      <alignment horizontal="right"/>
    </xf>
    <xf numFmtId="167" fontId="22" fillId="0" borderId="17" xfId="1" applyNumberFormat="1" applyFont="1" applyFill="1" applyBorder="1" applyAlignment="1">
      <alignment horizontal="right"/>
    </xf>
    <xf numFmtId="167" fontId="22" fillId="0" borderId="17" xfId="1" applyNumberFormat="1" applyFont="1" applyBorder="1"/>
    <xf numFmtId="167" fontId="22" fillId="0" borderId="17" xfId="1" applyNumberFormat="1" applyFont="1" applyBorder="1" applyAlignment="1">
      <alignment horizontal="right"/>
    </xf>
    <xf numFmtId="167" fontId="26" fillId="0" borderId="13" xfId="1" applyNumberFormat="1" applyFont="1" applyBorder="1" applyAlignment="1">
      <alignment horizontal="right" vertical="top" wrapText="1"/>
    </xf>
    <xf numFmtId="167" fontId="22" fillId="0" borderId="13" xfId="1" applyNumberFormat="1" applyFont="1" applyBorder="1" applyAlignment="1">
      <alignment horizontal="right"/>
    </xf>
    <xf numFmtId="167" fontId="22" fillId="0" borderId="25" xfId="1" applyNumberFormat="1" applyFont="1" applyFill="1" applyBorder="1" applyAlignment="1">
      <alignment horizontal="right"/>
    </xf>
    <xf numFmtId="167" fontId="22" fillId="0" borderId="18" xfId="1" applyNumberFormat="1" applyFont="1" applyBorder="1" applyAlignment="1">
      <alignment horizontal="right"/>
    </xf>
    <xf numFmtId="167" fontId="21" fillId="0" borderId="14" xfId="1" applyNumberFormat="1" applyFont="1" applyBorder="1" applyAlignment="1">
      <alignment horizontal="right" vertical="center"/>
    </xf>
    <xf numFmtId="165" fontId="5" fillId="0" borderId="0" xfId="1" applyFont="1" applyFill="1" applyBorder="1"/>
    <xf numFmtId="165" fontId="7" fillId="0" borderId="0" xfId="1" applyFont="1" applyFill="1" applyBorder="1"/>
    <xf numFmtId="165" fontId="5" fillId="0" borderId="0" xfId="1" applyFont="1" applyBorder="1"/>
    <xf numFmtId="0" fontId="21" fillId="0" borderId="0" xfId="0" applyFont="1" applyBorder="1" applyAlignment="1">
      <alignment horizontal="center"/>
    </xf>
    <xf numFmtId="167" fontId="22" fillId="0" borderId="0" xfId="0" applyNumberFormat="1" applyFont="1"/>
    <xf numFmtId="165" fontId="0" fillId="0" borderId="30" xfId="1" applyFont="1" applyBorder="1"/>
    <xf numFmtId="165" fontId="0" fillId="0" borderId="31" xfId="1" applyFont="1" applyBorder="1"/>
    <xf numFmtId="165" fontId="0" fillId="0" borderId="32" xfId="1" applyFont="1" applyBorder="1"/>
    <xf numFmtId="165" fontId="0" fillId="0" borderId="32" xfId="1" applyFont="1" applyBorder="1" applyAlignment="1">
      <alignment wrapText="1"/>
    </xf>
    <xf numFmtId="165" fontId="7" fillId="0" borderId="8" xfId="1" applyFont="1" applyBorder="1" applyAlignment="1">
      <alignment wrapText="1"/>
    </xf>
    <xf numFmtId="43" fontId="7" fillId="0" borderId="14" xfId="0" applyNumberFormat="1" applyFont="1" applyBorder="1"/>
    <xf numFmtId="0" fontId="28" fillId="0" borderId="1" xfId="7" applyFont="1" applyBorder="1" applyAlignment="1">
      <alignment horizontal="left" vertical="center"/>
    </xf>
    <xf numFmtId="0" fontId="28" fillId="0" borderId="0" xfId="7" applyFont="1" applyAlignment="1">
      <alignment wrapText="1"/>
    </xf>
    <xf numFmtId="0" fontId="28" fillId="0" borderId="6" xfId="7" applyFont="1" applyBorder="1" applyAlignment="1">
      <alignment horizontal="left" vertical="center"/>
    </xf>
    <xf numFmtId="0" fontId="33" fillId="0" borderId="0" xfId="7" applyFont="1" applyAlignment="1">
      <alignment horizontal="center" wrapText="1"/>
    </xf>
    <xf numFmtId="0" fontId="32" fillId="0" borderId="0" xfId="7" applyFont="1" applyAlignment="1">
      <alignment wrapText="1"/>
    </xf>
    <xf numFmtId="0" fontId="32" fillId="0" borderId="16" xfId="7" applyFont="1" applyBorder="1" applyAlignment="1">
      <alignment horizontal="left" vertical="center"/>
    </xf>
    <xf numFmtId="0" fontId="32" fillId="0" borderId="35" xfId="7" applyFont="1" applyBorder="1" applyAlignment="1">
      <alignment horizontal="left" vertical="center"/>
    </xf>
    <xf numFmtId="0" fontId="32" fillId="0" borderId="32" xfId="7" applyFont="1" applyBorder="1" applyAlignment="1">
      <alignment horizontal="left" vertical="center"/>
    </xf>
    <xf numFmtId="0" fontId="35" fillId="0" borderId="4" xfId="7" applyFont="1" applyBorder="1" applyAlignment="1">
      <alignment horizontal="left" vertical="center"/>
    </xf>
    <xf numFmtId="0" fontId="32" fillId="0" borderId="8" xfId="7" applyFont="1" applyBorder="1" applyAlignment="1">
      <alignment vertical="center"/>
    </xf>
    <xf numFmtId="0" fontId="32" fillId="0" borderId="35" xfId="7" applyFont="1" applyBorder="1" applyAlignment="1">
      <alignment vertical="center"/>
    </xf>
    <xf numFmtId="0" fontId="32" fillId="0" borderId="37" xfId="7" applyFont="1" applyBorder="1" applyAlignment="1">
      <alignment horizontal="left" vertical="center"/>
    </xf>
    <xf numFmtId="43" fontId="0" fillId="0" borderId="15" xfId="0" applyNumberFormat="1" applyBorder="1"/>
    <xf numFmtId="43" fontId="0" fillId="0" borderId="17" xfId="0" applyNumberFormat="1" applyBorder="1"/>
    <xf numFmtId="43" fontId="0" fillId="0" borderId="18" xfId="0" applyNumberFormat="1" applyBorder="1"/>
    <xf numFmtId="165" fontId="7" fillId="0" borderId="11" xfId="1" applyFont="1" applyBorder="1"/>
    <xf numFmtId="0" fontId="37" fillId="0" borderId="0" xfId="0" applyFont="1"/>
    <xf numFmtId="14" fontId="37" fillId="0" borderId="0" xfId="0" applyNumberFormat="1" applyFont="1"/>
    <xf numFmtId="0" fontId="37" fillId="0" borderId="0" xfId="0" applyFont="1" applyAlignment="1">
      <alignment horizontal="center"/>
    </xf>
    <xf numFmtId="165" fontId="37" fillId="0" borderId="0" xfId="1" applyFont="1"/>
    <xf numFmtId="167" fontId="19" fillId="0" borderId="0" xfId="0" applyNumberFormat="1" applyFont="1"/>
    <xf numFmtId="165" fontId="22" fillId="0" borderId="28" xfId="1" applyFont="1" applyBorder="1"/>
    <xf numFmtId="165" fontId="21" fillId="0" borderId="27" xfId="1" applyFont="1" applyBorder="1"/>
    <xf numFmtId="165" fontId="21" fillId="0" borderId="0" xfId="1" applyFont="1" applyBorder="1"/>
    <xf numFmtId="0" fontId="0" fillId="0" borderId="30" xfId="0" applyBorder="1"/>
    <xf numFmtId="0" fontId="0" fillId="0" borderId="32" xfId="0" applyBorder="1"/>
    <xf numFmtId="0" fontId="0" fillId="0" borderId="43" xfId="0" applyBorder="1"/>
    <xf numFmtId="167" fontId="0" fillId="0" borderId="23" xfId="1" applyNumberFormat="1" applyFont="1" applyBorder="1"/>
    <xf numFmtId="167" fontId="0" fillId="0" borderId="45" xfId="1" applyNumberFormat="1" applyFont="1" applyBorder="1"/>
    <xf numFmtId="167" fontId="0" fillId="0" borderId="7" xfId="1" applyNumberFormat="1" applyFont="1" applyBorder="1"/>
    <xf numFmtId="165" fontId="12" fillId="2" borderId="46" xfId="1" applyFont="1" applyFill="1" applyBorder="1" applyAlignment="1">
      <alignment horizontal="center" vertical="center"/>
    </xf>
    <xf numFmtId="165" fontId="7" fillId="0" borderId="21" xfId="1" applyFont="1" applyBorder="1"/>
    <xf numFmtId="0" fontId="38" fillId="0" borderId="0" xfId="0" applyFont="1"/>
    <xf numFmtId="0" fontId="5" fillId="0" borderId="0" xfId="0" applyFont="1" applyFill="1" applyBorder="1" applyAlignment="1">
      <alignment horizontal="left" vertical="center"/>
    </xf>
    <xf numFmtId="0" fontId="35" fillId="0" borderId="31" xfId="7" applyFont="1" applyBorder="1" applyAlignment="1">
      <alignment horizontal="left" vertical="center"/>
    </xf>
    <xf numFmtId="0" fontId="35" fillId="0" borderId="32" xfId="7" applyFont="1" applyBorder="1" applyAlignment="1">
      <alignment horizontal="left" vertical="center"/>
    </xf>
    <xf numFmtId="14" fontId="32" fillId="0" borderId="33" xfId="7" applyNumberFormat="1" applyFont="1" applyBorder="1" applyAlignment="1">
      <alignment horizontal="justify" vertical="justify"/>
    </xf>
    <xf numFmtId="14" fontId="32" fillId="0" borderId="34" xfId="7" applyNumberFormat="1" applyFont="1" applyBorder="1" applyAlignment="1">
      <alignment horizontal="justify" vertical="justify"/>
    </xf>
    <xf numFmtId="14" fontId="32" fillId="0" borderId="29" xfId="7" applyNumberFormat="1" applyFont="1" applyBorder="1" applyAlignment="1">
      <alignment horizontal="justify" vertical="justify"/>
    </xf>
    <xf numFmtId="14" fontId="32" fillId="0" borderId="36" xfId="7" applyNumberFormat="1" applyFont="1" applyBorder="1" applyAlignment="1">
      <alignment horizontal="justify" vertical="justify"/>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6" xfId="0" applyFont="1" applyBorder="1" applyAlignment="1">
      <alignment horizontal="center" vertical="center" wrapText="1"/>
    </xf>
    <xf numFmtId="0" fontId="23" fillId="0" borderId="3" xfId="0" applyFont="1" applyBorder="1" applyAlignment="1">
      <alignment horizontal="center" wrapText="1"/>
    </xf>
    <xf numFmtId="0" fontId="23" fillId="0" borderId="2" xfId="0" applyFont="1" applyBorder="1" applyAlignment="1">
      <alignment horizontal="center" wrapText="1"/>
    </xf>
    <xf numFmtId="0" fontId="23" fillId="0" borderId="0" xfId="0" applyFont="1" applyBorder="1" applyAlignment="1">
      <alignment horizontal="center"/>
    </xf>
    <xf numFmtId="0" fontId="23" fillId="0" borderId="5" xfId="0" applyFont="1" applyBorder="1" applyAlignment="1">
      <alignment horizontal="center"/>
    </xf>
    <xf numFmtId="0" fontId="23" fillId="0" borderId="4" xfId="0" applyFont="1" applyBorder="1" applyAlignment="1">
      <alignment horizontal="center"/>
    </xf>
    <xf numFmtId="0" fontId="21" fillId="0" borderId="21" xfId="0" applyFont="1" applyBorder="1" applyAlignment="1">
      <alignment horizontal="center" vertical="center" wrapText="1"/>
    </xf>
    <xf numFmtId="165" fontId="21" fillId="0" borderId="11" xfId="1" applyFont="1" applyBorder="1" applyAlignment="1">
      <alignment horizontal="center" vertical="center"/>
    </xf>
    <xf numFmtId="165" fontId="21" fillId="0" borderId="9" xfId="1" applyFont="1" applyBorder="1" applyAlignment="1">
      <alignment horizontal="center" vertical="center"/>
    </xf>
    <xf numFmtId="0" fontId="12" fillId="0" borderId="12" xfId="0" applyFont="1" applyBorder="1" applyAlignment="1">
      <alignment horizontal="center" vertical="center" wrapText="1"/>
    </xf>
    <xf numFmtId="0" fontId="12" fillId="0" borderId="21" xfId="0" applyFont="1" applyBorder="1" applyAlignment="1">
      <alignment horizontal="center" vertical="center" wrapText="1"/>
    </xf>
    <xf numFmtId="0" fontId="5" fillId="0" borderId="0" xfId="0" applyFont="1" applyAlignment="1">
      <alignment horizontal="left" vertical="top" wrapText="1"/>
    </xf>
    <xf numFmtId="0" fontId="8" fillId="0" borderId="0" xfId="0" applyFont="1" applyAlignment="1">
      <alignment horizontal="left" vertical="top" wrapText="1"/>
    </xf>
    <xf numFmtId="0" fontId="27" fillId="0" borderId="0" xfId="0" applyFont="1" applyBorder="1" applyAlignment="1">
      <alignment horizontal="center" vertical="center" wrapText="1"/>
    </xf>
    <xf numFmtId="0" fontId="10" fillId="0" borderId="0" xfId="0" applyFont="1" applyAlignment="1">
      <alignment horizontal="center"/>
    </xf>
    <xf numFmtId="0" fontId="11" fillId="0" borderId="0" xfId="0" applyFont="1" applyAlignment="1">
      <alignment horizontal="center"/>
    </xf>
    <xf numFmtId="0" fontId="12" fillId="0" borderId="15" xfId="0" applyFont="1" applyBorder="1" applyAlignment="1">
      <alignment horizontal="center" vertical="center"/>
    </xf>
    <xf numFmtId="0" fontId="12" fillId="0" borderId="18" xfId="0" applyFont="1" applyBorder="1" applyAlignment="1">
      <alignment horizontal="center" vertical="center"/>
    </xf>
    <xf numFmtId="165" fontId="12" fillId="2" borderId="16" xfId="1" applyFont="1" applyFill="1" applyBorder="1" applyAlignment="1">
      <alignment horizontal="center" vertical="center" wrapText="1"/>
    </xf>
    <xf numFmtId="165" fontId="12" fillId="2" borderId="23" xfId="1" applyFont="1" applyFill="1" applyBorder="1" applyAlignment="1">
      <alignment horizontal="center" vertical="center" wrapText="1"/>
    </xf>
    <xf numFmtId="0" fontId="13" fillId="0" borderId="12" xfId="0" applyFont="1" applyFill="1" applyBorder="1" applyAlignment="1">
      <alignment horizontal="center" wrapText="1"/>
    </xf>
    <xf numFmtId="0" fontId="13" fillId="0" borderId="21" xfId="0" applyFont="1" applyFill="1" applyBorder="1" applyAlignment="1">
      <alignment horizontal="center" wrapText="1"/>
    </xf>
    <xf numFmtId="0" fontId="12" fillId="0" borderId="12" xfId="0" applyFont="1" applyBorder="1" applyAlignment="1">
      <alignment horizontal="center" vertical="center"/>
    </xf>
    <xf numFmtId="0" fontId="12" fillId="0" borderId="21" xfId="0" applyFont="1" applyBorder="1" applyAlignment="1">
      <alignment horizontal="center" vertical="center"/>
    </xf>
    <xf numFmtId="0" fontId="5" fillId="0" borderId="0" xfId="1" applyNumberFormat="1" applyFont="1" applyFill="1" applyBorder="1" applyAlignment="1">
      <alignment horizontal="justify"/>
    </xf>
    <xf numFmtId="166" fontId="14" fillId="0" borderId="0" xfId="0" applyNumberFormat="1" applyFont="1" applyAlignment="1">
      <alignment horizontal="center"/>
    </xf>
    <xf numFmtId="166" fontId="6" fillId="0" borderId="0" xfId="0" applyNumberFormat="1" applyFont="1" applyAlignment="1">
      <alignment horizontal="center"/>
    </xf>
    <xf numFmtId="166" fontId="15" fillId="0" borderId="0" xfId="0" applyNumberFormat="1" applyFont="1" applyAlignment="1">
      <alignment horizontal="center"/>
    </xf>
    <xf numFmtId="165" fontId="16" fillId="0" borderId="0" xfId="1" applyFont="1" applyAlignment="1">
      <alignment horizontal="center"/>
    </xf>
    <xf numFmtId="165" fontId="16" fillId="0" borderId="10" xfId="1" applyFont="1" applyBorder="1" applyAlignment="1">
      <alignment horizontal="center" vertical="center" wrapText="1"/>
    </xf>
    <xf numFmtId="0" fontId="23" fillId="5" borderId="0" xfId="0" applyFont="1" applyFill="1" applyBorder="1" applyAlignment="1">
      <alignment horizontal="center" vertical="center" wrapText="1"/>
    </xf>
    <xf numFmtId="0" fontId="23" fillId="5" borderId="5" xfId="0" applyFont="1" applyFill="1" applyBorder="1" applyAlignment="1">
      <alignment horizontal="center" vertical="center" wrapText="1"/>
    </xf>
    <xf numFmtId="0" fontId="39" fillId="0" borderId="0" xfId="10" applyFont="1" applyAlignment="1">
      <alignment textRotation="255"/>
    </xf>
    <xf numFmtId="0" fontId="1" fillId="0" borderId="0" xfId="10"/>
    <xf numFmtId="0" fontId="40" fillId="0" borderId="0" xfId="10" applyFont="1" applyAlignment="1">
      <alignment horizontal="center"/>
    </xf>
    <xf numFmtId="0" fontId="41" fillId="0" borderId="47" xfId="10" applyFont="1" applyBorder="1" applyAlignment="1">
      <alignment horizontal="center" vertical="center"/>
    </xf>
    <xf numFmtId="0" fontId="42" fillId="0" borderId="0" xfId="10" applyFont="1" applyAlignment="1">
      <alignment horizontal="center"/>
    </xf>
    <xf numFmtId="0" fontId="4" fillId="0" borderId="0" xfId="10" applyFont="1" applyAlignment="1">
      <alignment horizontal="right"/>
    </xf>
    <xf numFmtId="0" fontId="41" fillId="0" borderId="48" xfId="10" applyFont="1" applyBorder="1" applyAlignment="1">
      <alignment horizontal="center" vertical="center"/>
    </xf>
    <xf numFmtId="0" fontId="34" fillId="0" borderId="0" xfId="10" applyFont="1" applyAlignment="1">
      <alignment textRotation="255"/>
    </xf>
    <xf numFmtId="0" fontId="32" fillId="0" borderId="0" xfId="7" applyFont="1"/>
    <xf numFmtId="0" fontId="34" fillId="0" borderId="0" xfId="10" applyFont="1"/>
    <xf numFmtId="0" fontId="41" fillId="0" borderId="39" xfId="10" applyFont="1" applyBorder="1" applyAlignment="1">
      <alignment horizontal="center" vertical="center"/>
    </xf>
    <xf numFmtId="0" fontId="43" fillId="0" borderId="0" xfId="10" applyFont="1" applyAlignment="1">
      <alignment horizontal="center"/>
    </xf>
    <xf numFmtId="0" fontId="43" fillId="0" borderId="0" xfId="10" applyFont="1" applyAlignment="1">
      <alignment horizontal="center"/>
    </xf>
    <xf numFmtId="0" fontId="43" fillId="0" borderId="0" xfId="10" applyFont="1"/>
    <xf numFmtId="0" fontId="33" fillId="0" borderId="0" xfId="10" applyFont="1" applyAlignment="1">
      <alignment horizontal="center"/>
    </xf>
    <xf numFmtId="0" fontId="33" fillId="0" borderId="0" xfId="10" applyFont="1" applyAlignment="1">
      <alignment horizontal="center"/>
    </xf>
    <xf numFmtId="0" fontId="43" fillId="0" borderId="1" xfId="10" applyFont="1" applyBorder="1" applyAlignment="1">
      <alignment horizontal="center"/>
    </xf>
    <xf numFmtId="0" fontId="43" fillId="0" borderId="3" xfId="10" applyFont="1" applyBorder="1" applyAlignment="1">
      <alignment horizontal="center"/>
    </xf>
    <xf numFmtId="0" fontId="44" fillId="0" borderId="2" xfId="10" applyFont="1" applyBorder="1" applyAlignment="1">
      <alignment horizontal="right"/>
    </xf>
    <xf numFmtId="14" fontId="45" fillId="0" borderId="0" xfId="10" applyNumberFormat="1" applyFont="1" applyAlignment="1">
      <alignment horizontal="center"/>
    </xf>
    <xf numFmtId="0" fontId="45" fillId="0" borderId="0" xfId="10" applyFont="1" applyAlignment="1">
      <alignment horizontal="center"/>
    </xf>
    <xf numFmtId="14" fontId="45" fillId="0" borderId="4" xfId="10" applyNumberFormat="1" applyFont="1" applyBorder="1" applyAlignment="1">
      <alignment horizontal="center"/>
    </xf>
    <xf numFmtId="0" fontId="33" fillId="0" borderId="5" xfId="10" applyFont="1" applyBorder="1" applyAlignment="1">
      <alignment horizontal="center"/>
    </xf>
    <xf numFmtId="14" fontId="45" fillId="0" borderId="6" xfId="10" applyNumberFormat="1" applyFont="1" applyBorder="1" applyAlignment="1">
      <alignment horizontal="center"/>
    </xf>
    <xf numFmtId="0" fontId="45" fillId="0" borderId="10" xfId="10" applyFont="1" applyBorder="1" applyAlignment="1">
      <alignment horizontal="center"/>
    </xf>
    <xf numFmtId="0" fontId="34" fillId="0" borderId="7" xfId="10" applyFont="1" applyBorder="1"/>
    <xf numFmtId="0" fontId="32" fillId="0" borderId="0" xfId="7" applyFont="1" applyAlignment="1">
      <alignment horizontal="left" vertical="center"/>
    </xf>
    <xf numFmtId="0" fontId="45" fillId="0" borderId="0" xfId="10" applyFont="1" applyAlignment="1">
      <alignment horizontal="justify" vertical="justify"/>
    </xf>
    <xf numFmtId="0" fontId="28" fillId="0" borderId="0" xfId="10" applyFont="1" applyAlignment="1">
      <alignment textRotation="255" wrapText="1"/>
    </xf>
    <xf numFmtId="0" fontId="32" fillId="0" borderId="0" xfId="7" applyFont="1" applyAlignment="1">
      <alignment horizontal="left" vertical="center"/>
    </xf>
    <xf numFmtId="0" fontId="46" fillId="0" borderId="0" xfId="10" applyFont="1" applyAlignment="1">
      <alignment horizontal="justify" vertical="justify"/>
    </xf>
    <xf numFmtId="0" fontId="45" fillId="0" borderId="0" xfId="10" applyFont="1" applyAlignment="1">
      <alignment horizontal="justify" vertical="justify"/>
    </xf>
    <xf numFmtId="0" fontId="47" fillId="0" borderId="0" xfId="10" applyFont="1" applyAlignment="1">
      <alignment horizontal="center"/>
    </xf>
    <xf numFmtId="0" fontId="48" fillId="0" borderId="0" xfId="10" applyFont="1"/>
    <xf numFmtId="0" fontId="49" fillId="0" borderId="0" xfId="10" applyFont="1"/>
    <xf numFmtId="0" fontId="49" fillId="0" borderId="0" xfId="10" applyFont="1" applyAlignment="1">
      <alignment horizontal="right"/>
    </xf>
    <xf numFmtId="0" fontId="50" fillId="0" borderId="0" xfId="10" applyFont="1"/>
    <xf numFmtId="0" fontId="49" fillId="0" borderId="0" xfId="11" applyFont="1" applyAlignment="1">
      <alignment horizontal="right" vertical="top" wrapText="1"/>
    </xf>
    <xf numFmtId="0" fontId="51" fillId="0" borderId="0" xfId="10" applyFont="1"/>
    <xf numFmtId="0" fontId="52" fillId="0" borderId="0" xfId="10" applyFont="1"/>
    <xf numFmtId="0" fontId="53" fillId="0" borderId="0" xfId="10" applyFont="1"/>
    <xf numFmtId="49" fontId="49" fillId="0" borderId="0" xfId="11" applyNumberFormat="1" applyFont="1" applyAlignment="1">
      <alignment horizontal="right" vertical="top" wrapText="1"/>
    </xf>
    <xf numFmtId="0" fontId="48" fillId="0" borderId="0" xfId="10" applyFont="1" applyAlignment="1">
      <alignment textRotation="255"/>
    </xf>
    <xf numFmtId="0" fontId="43" fillId="0" borderId="16" xfId="10" applyFont="1" applyBorder="1" applyAlignment="1">
      <alignment horizontal="center" vertical="center"/>
    </xf>
    <xf numFmtId="0" fontId="43" fillId="0" borderId="34" xfId="10" applyFont="1" applyBorder="1" applyAlignment="1">
      <alignment horizontal="center" vertical="center"/>
    </xf>
    <xf numFmtId="0" fontId="43" fillId="0" borderId="49" xfId="10" applyFont="1" applyBorder="1" applyAlignment="1">
      <alignment horizontal="center" vertical="center"/>
    </xf>
    <xf numFmtId="0" fontId="43" fillId="0" borderId="33" xfId="10" applyFont="1" applyBorder="1" applyAlignment="1">
      <alignment horizontal="center" vertical="center"/>
    </xf>
    <xf numFmtId="0" fontId="46" fillId="0" borderId="16" xfId="10" applyFont="1" applyBorder="1" applyAlignment="1">
      <alignment horizontal="center" vertical="center" wrapText="1"/>
    </xf>
    <xf numFmtId="0" fontId="46" fillId="0" borderId="34" xfId="10" applyFont="1" applyBorder="1" applyAlignment="1">
      <alignment horizontal="center" vertical="center" wrapText="1"/>
    </xf>
    <xf numFmtId="0" fontId="43" fillId="0" borderId="23" xfId="10" applyFont="1" applyBorder="1" applyAlignment="1">
      <alignment horizontal="center" vertical="center"/>
    </xf>
    <xf numFmtId="0" fontId="43" fillId="0" borderId="20" xfId="10" applyFont="1" applyBorder="1" applyAlignment="1">
      <alignment horizontal="center" vertical="center"/>
    </xf>
    <xf numFmtId="0" fontId="43" fillId="0" borderId="19" xfId="10" applyFont="1" applyBorder="1" applyAlignment="1">
      <alignment horizontal="center" vertical="center"/>
    </xf>
    <xf numFmtId="0" fontId="33" fillId="0" borderId="50" xfId="10" applyFont="1" applyBorder="1" applyAlignment="1">
      <alignment vertical="center"/>
    </xf>
    <xf numFmtId="0" fontId="33" fillId="0" borderId="44" xfId="10" applyFont="1" applyBorder="1" applyAlignment="1">
      <alignment vertical="center"/>
    </xf>
    <xf numFmtId="0" fontId="46" fillId="0" borderId="20" xfId="10" applyFont="1" applyBorder="1" applyAlignment="1">
      <alignment horizontal="center" vertical="center" wrapText="1"/>
    </xf>
    <xf numFmtId="0" fontId="46" fillId="0" borderId="19" xfId="10" applyFont="1" applyBorder="1" applyAlignment="1">
      <alignment horizontal="center" vertical="center" wrapText="1"/>
    </xf>
    <xf numFmtId="0" fontId="43" fillId="0" borderId="51" xfId="10" applyFont="1" applyBorder="1" applyAlignment="1">
      <alignment horizontal="center" vertical="center"/>
    </xf>
    <xf numFmtId="0" fontId="34" fillId="0" borderId="30" xfId="10" applyFont="1" applyBorder="1" applyAlignment="1">
      <alignment horizontal="left" vertical="justify"/>
    </xf>
    <xf numFmtId="0" fontId="43" fillId="0" borderId="23" xfId="10" applyFont="1" applyBorder="1" applyAlignment="1">
      <alignment horizontal="left" vertical="justify"/>
    </xf>
    <xf numFmtId="0" fontId="33" fillId="0" borderId="38" xfId="10" applyFont="1" applyBorder="1" applyAlignment="1">
      <alignment horizontal="center" vertical="center"/>
    </xf>
    <xf numFmtId="0" fontId="33" fillId="0" borderId="39" xfId="10" applyFont="1" applyBorder="1" applyAlignment="1">
      <alignment horizontal="center" vertical="center"/>
    </xf>
    <xf numFmtId="0" fontId="33" fillId="0" borderId="42" xfId="10" applyFont="1" applyBorder="1" applyAlignment="1">
      <alignment horizontal="center" vertical="center"/>
    </xf>
    <xf numFmtId="0" fontId="43" fillId="0" borderId="40" xfId="10" applyFont="1" applyBorder="1" applyAlignment="1">
      <alignment horizontal="center" vertical="center" wrapText="1"/>
    </xf>
    <xf numFmtId="0" fontId="34" fillId="0" borderId="52" xfId="10" applyFont="1" applyBorder="1"/>
    <xf numFmtId="0" fontId="43" fillId="0" borderId="32" xfId="10" applyFont="1" applyBorder="1" applyAlignment="1">
      <alignment horizontal="justify" vertical="justify"/>
    </xf>
    <xf numFmtId="0" fontId="43" fillId="0" borderId="52" xfId="10" applyFont="1" applyBorder="1" applyAlignment="1">
      <alignment horizontal="justify" vertical="justify"/>
    </xf>
    <xf numFmtId="0" fontId="34" fillId="0" borderId="41" xfId="10" applyFont="1" applyBorder="1" applyAlignment="1">
      <alignment horizontal="center"/>
    </xf>
    <xf numFmtId="0" fontId="34" fillId="0" borderId="29" xfId="10" applyFont="1" applyBorder="1" applyAlignment="1">
      <alignment horizontal="center"/>
    </xf>
    <xf numFmtId="0" fontId="33" fillId="0" borderId="35" xfId="10" applyFont="1" applyBorder="1" applyAlignment="1">
      <alignment horizontal="center"/>
    </xf>
    <xf numFmtId="0" fontId="33" fillId="0" borderId="36" xfId="10" applyFont="1" applyBorder="1" applyAlignment="1">
      <alignment horizontal="center"/>
    </xf>
    <xf numFmtId="0" fontId="34" fillId="0" borderId="32" xfId="10" applyFont="1" applyBorder="1" applyAlignment="1">
      <alignment horizontal="justify" vertical="justify"/>
    </xf>
    <xf numFmtId="0" fontId="34" fillId="0" borderId="52" xfId="10" applyFont="1" applyBorder="1" applyAlignment="1">
      <alignment horizontal="justify" vertical="justify"/>
    </xf>
    <xf numFmtId="0" fontId="34" fillId="0" borderId="36" xfId="10" applyFont="1" applyBorder="1" applyAlignment="1">
      <alignment horizontal="center"/>
    </xf>
    <xf numFmtId="0" fontId="34" fillId="0" borderId="35" xfId="10" applyFont="1" applyBorder="1" applyAlignment="1">
      <alignment horizontal="center"/>
    </xf>
    <xf numFmtId="0" fontId="34" fillId="0" borderId="20" xfId="10" applyFont="1" applyBorder="1" applyAlignment="1">
      <alignment horizontal="justify" vertical="justify"/>
    </xf>
    <xf numFmtId="0" fontId="34" fillId="0" borderId="19" xfId="10" applyFont="1" applyBorder="1" applyAlignment="1">
      <alignment horizontal="justify" vertical="justify"/>
    </xf>
    <xf numFmtId="0" fontId="34" fillId="0" borderId="50" xfId="10" applyFont="1" applyBorder="1"/>
    <xf numFmtId="0" fontId="34" fillId="0" borderId="44" xfId="10" applyFont="1" applyBorder="1"/>
    <xf numFmtId="0" fontId="34" fillId="0" borderId="20" xfId="10" applyFont="1" applyBorder="1"/>
    <xf numFmtId="0" fontId="34" fillId="0" borderId="19" xfId="10" applyFont="1" applyBorder="1"/>
    <xf numFmtId="0" fontId="34" fillId="0" borderId="51" xfId="10" applyFont="1" applyBorder="1"/>
    <xf numFmtId="0" fontId="43" fillId="0" borderId="0" xfId="10" applyFont="1" applyAlignment="1">
      <alignment horizontal="justify" vertical="justify"/>
    </xf>
    <xf numFmtId="0" fontId="34" fillId="0" borderId="8" xfId="10" applyFont="1" applyBorder="1" applyAlignment="1">
      <alignment horizontal="center"/>
    </xf>
    <xf numFmtId="0" fontId="34" fillId="0" borderId="11" xfId="10" applyFont="1" applyBorder="1" applyAlignment="1">
      <alignment horizontal="center"/>
    </xf>
    <xf numFmtId="0" fontId="34" fillId="0" borderId="9" xfId="10" applyFont="1" applyBorder="1" applyAlignment="1">
      <alignment horizontal="center"/>
    </xf>
    <xf numFmtId="0" fontId="28" fillId="0" borderId="0" xfId="7" applyFont="1" applyAlignment="1">
      <alignment vertical="top" textRotation="255" wrapText="1"/>
    </xf>
    <xf numFmtId="0" fontId="29" fillId="0" borderId="3" xfId="10" applyFont="1" applyBorder="1" applyAlignment="1">
      <alignment horizontal="center" wrapText="1"/>
    </xf>
    <xf numFmtId="0" fontId="30" fillId="0" borderId="12" xfId="10" applyFont="1" applyBorder="1" applyAlignment="1">
      <alignment horizontal="center" vertical="center" wrapText="1"/>
    </xf>
    <xf numFmtId="0" fontId="31" fillId="0" borderId="0" xfId="10" applyFont="1" applyAlignment="1">
      <alignment horizontal="center" wrapText="1"/>
    </xf>
    <xf numFmtId="0" fontId="31" fillId="0" borderId="0" xfId="10" applyFont="1" applyAlignment="1">
      <alignment wrapText="1"/>
    </xf>
    <xf numFmtId="0" fontId="32" fillId="0" borderId="10" xfId="10" applyFont="1" applyBorder="1" applyAlignment="1">
      <alignment horizontal="center" wrapText="1"/>
    </xf>
    <xf numFmtId="0" fontId="30" fillId="0" borderId="21" xfId="10" applyFont="1" applyBorder="1" applyAlignment="1">
      <alignment horizontal="center" vertical="center" wrapText="1"/>
    </xf>
    <xf numFmtId="0" fontId="32" fillId="0" borderId="0" xfId="10" applyFont="1" applyAlignment="1">
      <alignment horizontal="center" wrapText="1"/>
    </xf>
    <xf numFmtId="0" fontId="34" fillId="0" borderId="0" xfId="10" applyFont="1" applyAlignment="1">
      <alignment vertical="top" textRotation="255"/>
    </xf>
    <xf numFmtId="14" fontId="28" fillId="0" borderId="0" xfId="10" applyNumberFormat="1" applyFont="1" applyAlignment="1">
      <alignment horizontal="left" vertical="center" wrapText="1"/>
    </xf>
    <xf numFmtId="0" fontId="28" fillId="0" borderId="35" xfId="10" applyFont="1" applyBorder="1" applyAlignment="1">
      <alignment horizontal="justify" vertical="justify"/>
    </xf>
    <xf numFmtId="0" fontId="28" fillId="0" borderId="29" xfId="10" applyFont="1" applyBorder="1" applyAlignment="1">
      <alignment horizontal="justify" vertical="justify"/>
    </xf>
    <xf numFmtId="0" fontId="28" fillId="0" borderId="36" xfId="10" applyFont="1" applyBorder="1" applyAlignment="1">
      <alignment horizontal="justify" vertical="justify"/>
    </xf>
    <xf numFmtId="0" fontId="28" fillId="0" borderId="0" xfId="10" applyFont="1" applyAlignment="1">
      <alignment horizontal="left" vertical="center" wrapText="1"/>
    </xf>
    <xf numFmtId="0" fontId="32" fillId="0" borderId="0" xfId="10" applyFont="1" applyAlignment="1">
      <alignment horizontal="left" vertical="center" wrapText="1"/>
    </xf>
    <xf numFmtId="0" fontId="32" fillId="0" borderId="35" xfId="10" applyFont="1" applyBorder="1" applyAlignment="1">
      <alignment horizontal="justify" vertical="justify"/>
    </xf>
    <xf numFmtId="0" fontId="32" fillId="0" borderId="29" xfId="10" applyFont="1" applyBorder="1" applyAlignment="1">
      <alignment horizontal="justify" vertical="justify"/>
    </xf>
    <xf numFmtId="0" fontId="32" fillId="0" borderId="36" xfId="10" applyFont="1" applyBorder="1" applyAlignment="1">
      <alignment horizontal="justify" vertical="justify"/>
    </xf>
    <xf numFmtId="164" fontId="32" fillId="0" borderId="6" xfId="12" applyFont="1" applyFill="1" applyBorder="1" applyAlignment="1">
      <alignment horizontal="center" vertical="center"/>
    </xf>
    <xf numFmtId="164" fontId="32" fillId="0" borderId="10" xfId="12" applyFont="1" applyFill="1" applyBorder="1" applyAlignment="1">
      <alignment horizontal="center" vertical="center"/>
    </xf>
    <xf numFmtId="164" fontId="32" fillId="0" borderId="7" xfId="12" applyFont="1" applyFill="1" applyBorder="1" applyAlignment="1">
      <alignment horizontal="center" vertical="center"/>
    </xf>
    <xf numFmtId="164" fontId="28" fillId="0" borderId="0" xfId="12" applyFont="1" applyBorder="1" applyAlignment="1">
      <alignment horizontal="left" vertical="center" wrapText="1"/>
    </xf>
    <xf numFmtId="0" fontId="32" fillId="0" borderId="4" xfId="10" applyFont="1" applyBorder="1" applyAlignment="1">
      <alignment horizontal="center" vertical="center"/>
    </xf>
    <xf numFmtId="164" fontId="32" fillId="0" borderId="14" xfId="12" applyFont="1" applyFill="1" applyBorder="1" applyAlignment="1">
      <alignment vertical="center"/>
    </xf>
    <xf numFmtId="164" fontId="32" fillId="0" borderId="9" xfId="12" applyFont="1" applyBorder="1" applyAlignment="1">
      <alignment horizontal="left" vertical="center" wrapText="1"/>
    </xf>
    <xf numFmtId="0" fontId="32" fillId="0" borderId="4" xfId="10" applyFont="1" applyBorder="1" applyAlignment="1">
      <alignment vertical="center"/>
    </xf>
    <xf numFmtId="0" fontId="32" fillId="0" borderId="13" xfId="10" applyFont="1" applyBorder="1" applyAlignment="1">
      <alignment vertical="center"/>
    </xf>
    <xf numFmtId="168" fontId="34" fillId="0" borderId="5" xfId="13" applyFont="1" applyBorder="1" applyAlignment="1">
      <alignment horizontal="left"/>
    </xf>
    <xf numFmtId="0" fontId="34" fillId="0" borderId="0" xfId="10" applyFont="1" applyAlignment="1">
      <alignment horizontal="left"/>
    </xf>
    <xf numFmtId="0" fontId="34" fillId="0" borderId="5" xfId="10" applyFont="1" applyBorder="1" applyAlignment="1">
      <alignment horizontal="left"/>
    </xf>
    <xf numFmtId="168" fontId="28" fillId="0" borderId="35" xfId="10" applyNumberFormat="1" applyFont="1" applyBorder="1" applyAlignment="1">
      <alignment horizontal="justify" vertical="justify"/>
    </xf>
    <xf numFmtId="9" fontId="28" fillId="0" borderId="35" xfId="14" applyFont="1" applyFill="1" applyBorder="1" applyAlignment="1">
      <alignment horizontal="justify" vertical="justify"/>
    </xf>
    <xf numFmtId="9" fontId="28" fillId="0" borderId="29" xfId="14" applyFont="1" applyFill="1" applyBorder="1" applyAlignment="1">
      <alignment horizontal="justify" vertical="justify"/>
    </xf>
    <xf numFmtId="9" fontId="28" fillId="0" borderId="36" xfId="14" applyFont="1" applyFill="1" applyBorder="1" applyAlignment="1">
      <alignment horizontal="justify" vertical="justify"/>
    </xf>
    <xf numFmtId="9" fontId="28" fillId="0" borderId="0" xfId="10" applyNumberFormat="1" applyFont="1" applyAlignment="1">
      <alignment horizontal="left" vertical="center" wrapText="1"/>
    </xf>
    <xf numFmtId="0" fontId="28" fillId="0" borderId="29" xfId="10" applyFont="1" applyBorder="1" applyAlignment="1">
      <alignment horizontal="left" vertical="center" wrapText="1"/>
    </xf>
    <xf numFmtId="0" fontId="28" fillId="0" borderId="36" xfId="10" applyFont="1" applyBorder="1" applyAlignment="1">
      <alignment horizontal="left" vertical="center" wrapText="1"/>
    </xf>
    <xf numFmtId="0" fontId="33" fillId="0" borderId="29" xfId="10" applyFont="1" applyBorder="1" applyAlignment="1">
      <alignment horizontal="left" vertical="center" wrapText="1"/>
    </xf>
    <xf numFmtId="0" fontId="28" fillId="0" borderId="35" xfId="10" applyFont="1" applyBorder="1" applyAlignment="1">
      <alignment horizontal="justify" vertical="justify" wrapText="1"/>
    </xf>
    <xf numFmtId="0" fontId="28" fillId="0" borderId="29" xfId="10" applyFont="1" applyBorder="1" applyAlignment="1">
      <alignment horizontal="justify" vertical="justify" wrapText="1"/>
    </xf>
    <xf numFmtId="0" fontId="28" fillId="0" borderId="36" xfId="10" applyFont="1" applyBorder="1" applyAlignment="1">
      <alignment horizontal="justify" vertical="justify" wrapText="1"/>
    </xf>
    <xf numFmtId="0" fontId="28" fillId="0" borderId="35" xfId="10" applyFont="1" applyBorder="1" applyAlignment="1">
      <alignment horizontal="left" vertical="center" wrapText="1"/>
    </xf>
    <xf numFmtId="0" fontId="28" fillId="0" borderId="29" xfId="10" applyFont="1" applyBorder="1" applyAlignment="1">
      <alignment horizontal="left" vertical="center" wrapText="1"/>
    </xf>
    <xf numFmtId="0" fontId="32" fillId="0" borderId="15" xfId="7" applyFont="1" applyBorder="1" applyAlignment="1">
      <alignment horizontal="left" vertical="center" wrapText="1"/>
    </xf>
    <xf numFmtId="0" fontId="28" fillId="0" borderId="38" xfId="10" applyFont="1" applyBorder="1" applyAlignment="1">
      <alignment horizontal="justify" vertical="justify" wrapText="1"/>
    </xf>
    <xf numFmtId="0" fontId="28" fillId="0" borderId="39" xfId="10" applyFont="1" applyBorder="1" applyAlignment="1">
      <alignment horizontal="justify" vertical="justify" wrapText="1"/>
    </xf>
    <xf numFmtId="0" fontId="28" fillId="0" borderId="40" xfId="10" applyFont="1" applyBorder="1" applyAlignment="1">
      <alignment horizontal="justify" vertical="justify" wrapText="1"/>
    </xf>
    <xf numFmtId="0" fontId="32" fillId="0" borderId="17" xfId="10" applyFont="1" applyBorder="1" applyAlignment="1">
      <alignment horizontal="left" vertical="center"/>
    </xf>
    <xf numFmtId="0" fontId="28" fillId="0" borderId="41" xfId="10" applyFont="1" applyBorder="1" applyAlignment="1">
      <alignment horizontal="justify" vertical="justify" wrapText="1"/>
    </xf>
    <xf numFmtId="0" fontId="32" fillId="0" borderId="0" xfId="10" applyFont="1" applyAlignment="1">
      <alignment horizontal="center" vertical="center" wrapText="1"/>
    </xf>
    <xf numFmtId="0" fontId="32" fillId="0" borderId="41" xfId="10" applyFont="1" applyBorder="1" applyAlignment="1">
      <alignment horizontal="justify" vertical="justify" wrapText="1"/>
    </xf>
    <xf numFmtId="0" fontId="32" fillId="0" borderId="29" xfId="10" applyFont="1" applyBorder="1" applyAlignment="1">
      <alignment horizontal="justify" vertical="justify" wrapText="1"/>
    </xf>
    <xf numFmtId="0" fontId="32" fillId="0" borderId="36" xfId="10" applyFont="1" applyBorder="1" applyAlignment="1">
      <alignment horizontal="justify" vertical="justify" wrapText="1"/>
    </xf>
    <xf numFmtId="0" fontId="28" fillId="0" borderId="0" xfId="10" applyFont="1" applyAlignment="1">
      <alignment vertical="top" wrapText="1"/>
    </xf>
    <xf numFmtId="0" fontId="32" fillId="0" borderId="17" xfId="10" applyFont="1" applyBorder="1" applyAlignment="1">
      <alignment horizontal="center" vertical="center"/>
    </xf>
    <xf numFmtId="0" fontId="32" fillId="0" borderId="41" xfId="10" applyFont="1" applyBorder="1" applyAlignment="1">
      <alignment vertical="center"/>
    </xf>
    <xf numFmtId="0" fontId="34" fillId="0" borderId="29" xfId="10" applyFont="1" applyBorder="1"/>
    <xf numFmtId="0" fontId="28" fillId="0" borderId="36" xfId="10" applyFont="1" applyBorder="1" applyAlignment="1">
      <alignment vertical="center"/>
    </xf>
    <xf numFmtId="0" fontId="28" fillId="0" borderId="0" xfId="10" applyFont="1" applyAlignment="1">
      <alignment vertical="center"/>
    </xf>
    <xf numFmtId="0" fontId="32" fillId="0" borderId="18" xfId="10" applyFont="1" applyBorder="1" applyAlignment="1">
      <alignment horizontal="center" vertical="center"/>
    </xf>
    <xf numFmtId="0" fontId="33" fillId="0" borderId="29" xfId="10" applyFont="1" applyBorder="1" applyAlignment="1">
      <alignment vertical="center"/>
    </xf>
    <xf numFmtId="0" fontId="32" fillId="0" borderId="31" xfId="10" applyFont="1" applyBorder="1" applyAlignment="1">
      <alignment horizontal="left" vertical="center"/>
    </xf>
    <xf numFmtId="0" fontId="32" fillId="0" borderId="35" xfId="10" applyFont="1" applyBorder="1" applyAlignment="1">
      <alignment horizontal="left" vertical="center"/>
    </xf>
    <xf numFmtId="0" fontId="32" fillId="0" borderId="29" xfId="10" applyFont="1" applyBorder="1" applyAlignment="1">
      <alignment horizontal="left" vertical="center"/>
    </xf>
    <xf numFmtId="0" fontId="36" fillId="0" borderId="36" xfId="10" applyFont="1" applyBorder="1" applyAlignment="1">
      <alignment horizontal="center" vertical="center" textRotation="90" wrapText="1"/>
    </xf>
    <xf numFmtId="0" fontId="32" fillId="0" borderId="0" xfId="10" applyFont="1" applyAlignment="1">
      <alignment vertical="center"/>
    </xf>
    <xf numFmtId="0" fontId="32" fillId="0" borderId="32" xfId="10" applyFont="1" applyBorder="1" applyAlignment="1">
      <alignment horizontal="left" vertical="center"/>
    </xf>
    <xf numFmtId="0" fontId="28" fillId="0" borderId="35" xfId="10" applyFont="1" applyBorder="1" applyAlignment="1">
      <alignment horizontal="justify" vertical="top" wrapText="1"/>
    </xf>
    <xf numFmtId="0" fontId="28" fillId="0" borderId="29" xfId="10" applyFont="1" applyBorder="1" applyAlignment="1">
      <alignment horizontal="justify" vertical="top" wrapText="1"/>
    </xf>
    <xf numFmtId="0" fontId="28" fillId="0" borderId="0" xfId="10" applyFont="1" applyAlignment="1">
      <alignment horizontal="left" vertical="top" wrapText="1"/>
    </xf>
    <xf numFmtId="0" fontId="32" fillId="4" borderId="32" xfId="10" applyFont="1" applyFill="1" applyBorder="1" applyAlignment="1">
      <alignment horizontal="left" vertical="center"/>
    </xf>
    <xf numFmtId="0" fontId="32" fillId="0" borderId="42" xfId="10" applyFont="1" applyBorder="1" applyAlignment="1">
      <alignment horizontal="left" vertical="center"/>
    </xf>
    <xf numFmtId="0" fontId="32" fillId="0" borderId="39" xfId="10" applyFont="1" applyBorder="1" applyAlignment="1">
      <alignment horizontal="left" vertical="center"/>
    </xf>
    <xf numFmtId="0" fontId="36" fillId="0" borderId="5" xfId="10" applyFont="1" applyBorder="1" applyAlignment="1">
      <alignment horizontal="center" vertical="center" textRotation="90" wrapText="1"/>
    </xf>
    <xf numFmtId="0" fontId="32" fillId="4" borderId="43" xfId="10" applyFont="1" applyFill="1" applyBorder="1" applyAlignment="1">
      <alignment horizontal="left" vertical="center"/>
    </xf>
    <xf numFmtId="0" fontId="28" fillId="0" borderId="20" xfId="10" applyFont="1" applyBorder="1" applyAlignment="1">
      <alignment horizontal="justify" vertical="top" wrapText="1"/>
    </xf>
    <xf numFmtId="0" fontId="28" fillId="0" borderId="44" xfId="10" applyFont="1" applyBorder="1" applyAlignment="1">
      <alignment horizontal="justify" vertical="top" wrapText="1"/>
    </xf>
    <xf numFmtId="0" fontId="36" fillId="0" borderId="7" xfId="10" applyFont="1" applyBorder="1" applyAlignment="1">
      <alignment horizontal="center" vertical="center" textRotation="90" wrapText="1"/>
    </xf>
    <xf numFmtId="0" fontId="28" fillId="0" borderId="0" xfId="10" applyFont="1" applyAlignment="1">
      <alignment horizontal="left" vertical="center"/>
    </xf>
    <xf numFmtId="0" fontId="28" fillId="0" borderId="0" xfId="10" applyFont="1"/>
  </cellXfs>
  <cellStyles count="15">
    <cellStyle name="Hipervínculo 2" xfId="9" xr:uid="{00000000-0005-0000-0000-000000000000}"/>
    <cellStyle name="Millares" xfId="1" builtinId="3"/>
    <cellStyle name="Millares 2" xfId="3" xr:uid="{00000000-0005-0000-0000-000002000000}"/>
    <cellStyle name="Millares 3" xfId="12" xr:uid="{63886FF7-0A46-4421-B7C3-5EA478C75580}"/>
    <cellStyle name="Moneda 2" xfId="13" xr:uid="{4A4177A9-A87A-47F4-9DE3-315A0D0A6F80}"/>
    <cellStyle name="Normal" xfId="0" builtinId="0"/>
    <cellStyle name="Normal 11" xfId="4" xr:uid="{00000000-0005-0000-0000-000004000000}"/>
    <cellStyle name="Normal 2" xfId="5" xr:uid="{00000000-0005-0000-0000-000005000000}"/>
    <cellStyle name="Normal 2 2" xfId="7" xr:uid="{00000000-0005-0000-0000-000006000000}"/>
    <cellStyle name="Normal 3" xfId="6" xr:uid="{00000000-0005-0000-0000-000007000000}"/>
    <cellStyle name="Normal 4" xfId="10" xr:uid="{B914D1A1-677E-4EE1-B106-53961531C6F5}"/>
    <cellStyle name="Normal 47" xfId="11" xr:uid="{7A14D7F8-B8EC-4AB6-9791-47F2E78C895E}"/>
    <cellStyle name="Normal 5" xfId="8" xr:uid="{00000000-0005-0000-0000-000008000000}"/>
    <cellStyle name="Normal 7" xfId="2" xr:uid="{00000000-0005-0000-0000-000009000000}"/>
    <cellStyle name="Porcentaje 2" xfId="14" xr:uid="{D6BC7D44-A9D0-419E-B9E2-7837EDC5182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2</xdr:row>
      <xdr:rowOff>161925</xdr:rowOff>
    </xdr:to>
    <xdr:pic>
      <xdr:nvPicPr>
        <xdr:cNvPr id="2" name="Imagen 1" descr="C:\Users\Usuario\Desktop\A AUDITORIAS\A AUDITORIAS\2018\LOGOS\Logo 1\3ANG_LOGO.png">
          <a:extLst>
            <a:ext uri="{FF2B5EF4-FFF2-40B4-BE49-F238E27FC236}">
              <a16:creationId xmlns:a16="http://schemas.microsoft.com/office/drawing/2014/main" id="{118BA1DA-14D6-4411-A386-7EC78C7DAEA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57225"/>
        </a:xfrm>
        <a:prstGeom prst="rect">
          <a:avLst/>
        </a:prstGeom>
        <a:noFill/>
        <a:ln>
          <a:noFill/>
        </a:ln>
      </xdr:spPr>
    </xdr:pic>
    <xdr:clientData/>
  </xdr:twoCellAnchor>
  <xdr:twoCellAnchor>
    <xdr:from>
      <xdr:col>19</xdr:col>
      <xdr:colOff>0</xdr:colOff>
      <xdr:row>0</xdr:row>
      <xdr:rowOff>0</xdr:rowOff>
    </xdr:from>
    <xdr:to>
      <xdr:col>20</xdr:col>
      <xdr:colOff>38100</xdr:colOff>
      <xdr:row>1</xdr:row>
      <xdr:rowOff>200025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995F9B82-CF62-4C28-ACE4-42C8E247BEEE}"/>
            </a:ext>
          </a:extLst>
        </xdr:cNvPr>
        <xdr:cNvSpPr/>
      </xdr:nvSpPr>
      <xdr:spPr>
        <a:xfrm>
          <a:off x="10439400" y="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0</xdr:row>
      <xdr:rowOff>0</xdr:rowOff>
    </xdr:from>
    <xdr:to>
      <xdr:col>1</xdr:col>
      <xdr:colOff>1714500</xdr:colOff>
      <xdr:row>1</xdr:row>
      <xdr:rowOff>347382</xdr:rowOff>
    </xdr:to>
    <xdr:pic>
      <xdr:nvPicPr>
        <xdr:cNvPr id="2" name="Imagen 2" descr="C:\Users\Usuario\Desktop\A AUDITORIAS\A AUDITORIAS\2018\LOGOS\Logo 1\3ANG_LOGO.png">
          <a:extLst>
            <a:ext uri="{FF2B5EF4-FFF2-40B4-BE49-F238E27FC236}">
              <a16:creationId xmlns:a16="http://schemas.microsoft.com/office/drawing/2014/main" id="{32049BD9-8080-4A38-92E5-AD1BE5EA84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0"/>
          <a:ext cx="1638300" cy="699807"/>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B8B25FFB-445B-4A5B-B0C0-0229E27317C5}"/>
            </a:ext>
          </a:extLst>
        </xdr:cNvPr>
        <xdr:cNvSpPr/>
      </xdr:nvSpPr>
      <xdr:spPr>
        <a:xfrm>
          <a:off x="10801350" y="0"/>
          <a:ext cx="800100" cy="5810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246529</xdr:colOff>
      <xdr:row>0</xdr:row>
      <xdr:rowOff>11206</xdr:rowOff>
    </xdr:from>
    <xdr:to>
      <xdr:col>1</xdr:col>
      <xdr:colOff>728382</xdr:colOff>
      <xdr:row>2</xdr:row>
      <xdr:rowOff>224118</xdr:rowOff>
    </xdr:to>
    <xdr:pic>
      <xdr:nvPicPr>
        <xdr:cNvPr id="4" name="Imagen 3" descr="C:\Users\Usuario\Desktop\A AUDITORIAS\A AUDITORIAS\2018\LOGOS\Logo 1\3ANG_LOGO.png">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6529" y="11206"/>
          <a:ext cx="1479177" cy="762000"/>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D4F92-29EE-4CBA-B24F-8959D49A217D}">
  <sheetPr>
    <tabColor rgb="FFCCFFCC"/>
  </sheetPr>
  <dimension ref="A1:R53"/>
  <sheetViews>
    <sheetView tabSelected="1" workbookViewId="0">
      <selection activeCell="B13" sqref="B13:D13"/>
    </sheetView>
  </sheetViews>
  <sheetFormatPr baseColWidth="10" defaultRowHeight="15" x14ac:dyDescent="0.25"/>
  <cols>
    <col min="1" max="1" width="1.7109375" style="190" customWidth="1"/>
    <col min="2" max="2" width="2.7109375" style="191" customWidth="1"/>
    <col min="3" max="3" width="19.28515625" style="191" customWidth="1"/>
    <col min="4" max="4" width="49.140625" style="191" customWidth="1"/>
    <col min="5" max="11" width="3" style="191" customWidth="1"/>
    <col min="12" max="12" width="6.28515625" style="191" customWidth="1"/>
    <col min="13" max="13" width="4.7109375" style="191" customWidth="1"/>
    <col min="14" max="14" width="3.5703125" style="191" customWidth="1"/>
    <col min="15" max="15" width="4" style="191" customWidth="1"/>
    <col min="16" max="16" width="3.5703125" style="191" customWidth="1"/>
    <col min="17" max="17" width="17.7109375" style="191" customWidth="1"/>
    <col min="18" max="16384" width="11.42578125" style="191"/>
  </cols>
  <sheetData>
    <row r="1" spans="1:17" ht="20.25" x14ac:dyDescent="0.3">
      <c r="D1" s="192" t="s">
        <v>112</v>
      </c>
      <c r="E1" s="192"/>
      <c r="F1" s="192"/>
      <c r="G1" s="192"/>
      <c r="H1" s="192"/>
      <c r="I1" s="192"/>
      <c r="J1" s="192"/>
      <c r="K1" s="192"/>
      <c r="L1" s="192"/>
      <c r="M1" s="192"/>
      <c r="N1" s="192"/>
      <c r="O1" s="192"/>
      <c r="P1" s="192"/>
    </row>
    <row r="2" spans="1:17" ht="20.25" x14ac:dyDescent="0.3">
      <c r="D2" s="192" t="s">
        <v>113</v>
      </c>
      <c r="E2" s="192"/>
      <c r="F2" s="192"/>
      <c r="G2" s="192"/>
      <c r="H2" s="192"/>
      <c r="I2" s="192"/>
      <c r="J2" s="192"/>
      <c r="K2" s="192"/>
      <c r="L2" s="192"/>
      <c r="M2" s="192"/>
      <c r="N2" s="192"/>
      <c r="O2" s="192"/>
      <c r="P2" s="192"/>
      <c r="Q2" s="193" t="s">
        <v>114</v>
      </c>
    </row>
    <row r="3" spans="1:17" ht="18" x14ac:dyDescent="0.25">
      <c r="D3" s="194"/>
      <c r="E3" s="194"/>
      <c r="F3" s="194"/>
      <c r="G3" s="194"/>
      <c r="H3" s="194"/>
      <c r="I3" s="194"/>
      <c r="J3" s="194"/>
      <c r="K3" s="194"/>
      <c r="L3" s="194"/>
      <c r="M3" s="194"/>
      <c r="N3" s="194"/>
      <c r="O3" s="194"/>
      <c r="P3" s="195" t="s">
        <v>115</v>
      </c>
      <c r="Q3" s="196"/>
    </row>
    <row r="4" spans="1:17" s="199" customFormat="1" ht="15.75" x14ac:dyDescent="0.25">
      <c r="A4" s="197"/>
      <c r="B4" s="198" t="s">
        <v>116</v>
      </c>
      <c r="C4" s="198"/>
      <c r="D4" s="199" t="s">
        <v>117</v>
      </c>
      <c r="P4" s="195"/>
      <c r="Q4" s="200"/>
    </row>
    <row r="5" spans="1:17" s="199" customFormat="1" ht="16.5" thickBot="1" x14ac:dyDescent="0.3">
      <c r="A5" s="197"/>
      <c r="B5" s="198" t="s">
        <v>118</v>
      </c>
      <c r="C5" s="198"/>
      <c r="D5" s="199" t="s">
        <v>119</v>
      </c>
      <c r="H5" s="201" t="s">
        <v>49</v>
      </c>
      <c r="I5" s="201"/>
      <c r="J5" s="201"/>
      <c r="K5" s="201"/>
      <c r="L5" s="202"/>
      <c r="M5" s="202" t="s">
        <v>120</v>
      </c>
      <c r="N5" s="201"/>
      <c r="O5" s="201"/>
      <c r="P5" s="201"/>
    </row>
    <row r="6" spans="1:17" s="199" customFormat="1" ht="15.75" x14ac:dyDescent="0.25">
      <c r="A6" s="197"/>
      <c r="B6" s="198" t="s">
        <v>121</v>
      </c>
      <c r="C6" s="198"/>
      <c r="D6" s="203" t="s">
        <v>122</v>
      </c>
      <c r="H6" s="204" t="s">
        <v>123</v>
      </c>
      <c r="I6" s="204"/>
      <c r="J6" s="204"/>
      <c r="K6" s="204"/>
      <c r="L6" s="205"/>
      <c r="M6" s="205"/>
      <c r="N6" s="206" t="s">
        <v>124</v>
      </c>
      <c r="O6" s="207"/>
      <c r="P6" s="207"/>
      <c r="Q6" s="208" t="s">
        <v>125</v>
      </c>
    </row>
    <row r="7" spans="1:17" s="199" customFormat="1" ht="15.75" x14ac:dyDescent="0.25">
      <c r="A7" s="197"/>
      <c r="B7" s="198" t="s">
        <v>126</v>
      </c>
      <c r="C7" s="198"/>
      <c r="D7" s="199" t="s">
        <v>127</v>
      </c>
      <c r="E7" s="203" t="s">
        <v>48</v>
      </c>
      <c r="H7" s="209">
        <v>45162</v>
      </c>
      <c r="I7" s="210"/>
      <c r="J7" s="210"/>
      <c r="K7" s="210"/>
      <c r="L7" s="209">
        <v>45162</v>
      </c>
      <c r="M7" s="209"/>
      <c r="N7" s="211"/>
      <c r="O7" s="210"/>
      <c r="P7" s="210"/>
      <c r="Q7" s="212" t="s">
        <v>128</v>
      </c>
    </row>
    <row r="8" spans="1:17" s="199" customFormat="1" ht="16.5" thickBot="1" x14ac:dyDescent="0.3">
      <c r="A8" s="197"/>
      <c r="B8" s="198" t="s">
        <v>56</v>
      </c>
      <c r="C8" s="198"/>
      <c r="D8" s="199" t="s">
        <v>129</v>
      </c>
      <c r="E8" s="203" t="s">
        <v>48</v>
      </c>
      <c r="H8" s="209">
        <f>+H7+20</f>
        <v>45182</v>
      </c>
      <c r="I8" s="210"/>
      <c r="J8" s="210"/>
      <c r="K8" s="210"/>
      <c r="L8" s="209">
        <f>+L7+1</f>
        <v>45163</v>
      </c>
      <c r="M8" s="209"/>
      <c r="N8" s="213"/>
      <c r="O8" s="214"/>
      <c r="P8" s="214"/>
      <c r="Q8" s="215"/>
    </row>
    <row r="9" spans="1:17" s="199" customFormat="1" ht="17.25" x14ac:dyDescent="0.25">
      <c r="A9" s="197">
        <v>1</v>
      </c>
      <c r="B9" s="216" t="s">
        <v>130</v>
      </c>
      <c r="C9" s="216"/>
      <c r="D9" s="217" t="s">
        <v>131</v>
      </c>
      <c r="E9" s="217"/>
      <c r="F9" s="217"/>
      <c r="G9" s="217"/>
      <c r="H9" s="217"/>
      <c r="I9" s="217"/>
      <c r="J9" s="217"/>
      <c r="K9" s="217"/>
      <c r="L9" s="217"/>
      <c r="M9" s="217"/>
      <c r="N9" s="217"/>
      <c r="O9" s="217"/>
      <c r="P9" s="217"/>
      <c r="Q9" s="217"/>
    </row>
    <row r="10" spans="1:17" s="199" customFormat="1" ht="15.75" x14ac:dyDescent="0.25">
      <c r="A10" s="197"/>
      <c r="B10" s="216"/>
      <c r="C10" s="216"/>
      <c r="D10" s="217" t="s">
        <v>132</v>
      </c>
      <c r="E10" s="217"/>
      <c r="F10" s="217"/>
      <c r="G10" s="217"/>
      <c r="H10" s="217"/>
      <c r="I10" s="217"/>
      <c r="J10" s="217"/>
      <c r="K10" s="217"/>
      <c r="L10" s="217"/>
      <c r="M10" s="217"/>
      <c r="N10" s="217"/>
      <c r="O10" s="217"/>
      <c r="P10" s="217"/>
      <c r="Q10" s="217"/>
    </row>
    <row r="11" spans="1:17" s="199" customFormat="1" ht="48.75" x14ac:dyDescent="0.25">
      <c r="A11" s="197">
        <v>111</v>
      </c>
      <c r="B11" s="216"/>
      <c r="C11" s="216"/>
      <c r="D11" s="217" t="s">
        <v>133</v>
      </c>
      <c r="E11" s="217"/>
      <c r="F11" s="217"/>
      <c r="G11" s="217"/>
      <c r="H11" s="217"/>
      <c r="I11" s="217"/>
      <c r="J11" s="217"/>
      <c r="K11" s="217"/>
      <c r="L11" s="217"/>
      <c r="M11" s="217"/>
      <c r="N11" s="217"/>
      <c r="O11" s="217"/>
      <c r="P11" s="217"/>
      <c r="Q11" s="217"/>
    </row>
    <row r="12" spans="1:17" s="199" customFormat="1" ht="15.75" x14ac:dyDescent="0.25">
      <c r="A12" s="218"/>
      <c r="B12" s="219"/>
      <c r="C12" s="219"/>
      <c r="D12" s="220" t="s">
        <v>134</v>
      </c>
      <c r="E12" s="221"/>
      <c r="F12" s="221"/>
      <c r="G12" s="221"/>
      <c r="H12" s="221"/>
      <c r="I12" s="221"/>
      <c r="J12" s="221"/>
      <c r="K12" s="221"/>
      <c r="L12" s="221"/>
      <c r="M12" s="221"/>
      <c r="N12" s="221"/>
      <c r="O12" s="221"/>
      <c r="P12" s="221"/>
    </row>
    <row r="13" spans="1:17" s="223" customFormat="1" ht="15" customHeight="1" x14ac:dyDescent="0.2">
      <c r="A13" s="218"/>
      <c r="B13" s="222" t="s">
        <v>77</v>
      </c>
      <c r="C13" s="222"/>
      <c r="D13" s="222"/>
      <c r="I13" s="224" t="s">
        <v>135</v>
      </c>
      <c r="N13" s="224" t="s">
        <v>136</v>
      </c>
    </row>
    <row r="14" spans="1:17" s="223" customFormat="1" ht="14.25" x14ac:dyDescent="0.2">
      <c r="A14" s="218"/>
      <c r="B14" s="225" t="s">
        <v>137</v>
      </c>
      <c r="C14" s="223" t="s">
        <v>138</v>
      </c>
      <c r="D14" s="223" t="s">
        <v>139</v>
      </c>
      <c r="E14" s="226" t="s">
        <v>140</v>
      </c>
      <c r="H14" s="227"/>
      <c r="I14" s="228" t="s">
        <v>141</v>
      </c>
      <c r="K14" s="227"/>
      <c r="L14" s="227"/>
      <c r="N14" s="229" t="s">
        <v>142</v>
      </c>
      <c r="O14" s="228"/>
    </row>
    <row r="15" spans="1:17" s="223" customFormat="1" ht="12.75" x14ac:dyDescent="0.2">
      <c r="A15" s="218"/>
      <c r="B15" s="225" t="s">
        <v>143</v>
      </c>
      <c r="C15" s="223" t="s">
        <v>144</v>
      </c>
      <c r="D15" s="223" t="s">
        <v>145</v>
      </c>
      <c r="H15" s="227"/>
      <c r="I15" s="228" t="s">
        <v>120</v>
      </c>
      <c r="J15" s="230"/>
      <c r="K15" s="227"/>
      <c r="L15" s="227"/>
      <c r="M15" s="231" t="s">
        <v>146</v>
      </c>
      <c r="N15" s="228" t="s">
        <v>147</v>
      </c>
      <c r="O15" s="228"/>
    </row>
    <row r="16" spans="1:17" s="223" customFormat="1" ht="12.75" x14ac:dyDescent="0.2">
      <c r="A16" s="218"/>
      <c r="B16" s="225" t="s">
        <v>146</v>
      </c>
      <c r="C16" s="223" t="s">
        <v>148</v>
      </c>
      <c r="D16" s="223" t="s">
        <v>149</v>
      </c>
      <c r="H16" s="227"/>
      <c r="I16" s="228" t="s">
        <v>150</v>
      </c>
      <c r="J16" s="230"/>
      <c r="K16" s="227"/>
      <c r="L16" s="227"/>
      <c r="M16" s="231" t="s">
        <v>151</v>
      </c>
      <c r="N16" s="228" t="s">
        <v>152</v>
      </c>
      <c r="O16" s="228"/>
    </row>
    <row r="17" spans="1:18" s="223" customFormat="1" ht="12.75" x14ac:dyDescent="0.2">
      <c r="A17" s="218"/>
      <c r="C17" s="225"/>
      <c r="D17" s="223" t="s">
        <v>153</v>
      </c>
      <c r="H17" s="227"/>
      <c r="I17" s="228"/>
      <c r="J17" s="230"/>
      <c r="K17" s="227"/>
      <c r="L17" s="227"/>
      <c r="M17" s="231" t="s">
        <v>154</v>
      </c>
      <c r="N17" s="229" t="s">
        <v>155</v>
      </c>
      <c r="O17" s="228"/>
    </row>
    <row r="18" spans="1:18" s="223" customFormat="1" ht="13.5" thickBot="1" x14ac:dyDescent="0.25">
      <c r="A18" s="232"/>
      <c r="C18" s="225"/>
    </row>
    <row r="19" spans="1:18" ht="15.75" x14ac:dyDescent="0.25">
      <c r="C19" s="233" t="s">
        <v>156</v>
      </c>
      <c r="D19" s="234"/>
      <c r="E19" s="235" t="s">
        <v>157</v>
      </c>
      <c r="F19" s="236"/>
      <c r="G19" s="236"/>
      <c r="H19" s="236"/>
      <c r="I19" s="236"/>
      <c r="J19" s="236"/>
      <c r="K19" s="236"/>
      <c r="L19" s="237" t="s">
        <v>158</v>
      </c>
      <c r="M19" s="238"/>
      <c r="N19" s="235" t="s">
        <v>159</v>
      </c>
      <c r="O19" s="236"/>
      <c r="P19" s="236"/>
      <c r="Q19" s="239" t="s">
        <v>135</v>
      </c>
    </row>
    <row r="20" spans="1:18" ht="16.5" thickBot="1" x14ac:dyDescent="0.3">
      <c r="C20" s="240"/>
      <c r="D20" s="241"/>
      <c r="E20" s="242" t="s">
        <v>137</v>
      </c>
      <c r="F20" s="243" t="s">
        <v>143</v>
      </c>
      <c r="G20" s="243" t="s">
        <v>146</v>
      </c>
      <c r="H20" s="243" t="s">
        <v>160</v>
      </c>
      <c r="I20" s="243" t="s">
        <v>161</v>
      </c>
      <c r="J20" s="243" t="s">
        <v>162</v>
      </c>
      <c r="K20" s="243" t="s">
        <v>154</v>
      </c>
      <c r="L20" s="244"/>
      <c r="M20" s="245"/>
      <c r="N20" s="242" t="s">
        <v>146</v>
      </c>
      <c r="O20" s="243" t="s">
        <v>151</v>
      </c>
      <c r="P20" s="243" t="s">
        <v>154</v>
      </c>
      <c r="Q20" s="246"/>
    </row>
    <row r="21" spans="1:18" s="199" customFormat="1" ht="15.75" x14ac:dyDescent="0.25">
      <c r="A21" s="197"/>
      <c r="C21" s="247"/>
      <c r="D21" s="248"/>
      <c r="E21" s="249"/>
      <c r="F21" s="250"/>
      <c r="G21" s="250"/>
      <c r="H21" s="250"/>
      <c r="I21" s="250"/>
      <c r="J21" s="250"/>
      <c r="K21" s="250"/>
      <c r="L21" s="251"/>
      <c r="M21" s="252"/>
      <c r="N21" s="249"/>
      <c r="O21" s="250"/>
      <c r="P21" s="250"/>
      <c r="Q21" s="253"/>
      <c r="R21" s="191"/>
    </row>
    <row r="22" spans="1:18" s="199" customFormat="1" ht="16.5" customHeight="1" x14ac:dyDescent="0.25">
      <c r="A22" s="197"/>
      <c r="C22" s="254" t="s">
        <v>163</v>
      </c>
      <c r="D22" s="255"/>
      <c r="E22" s="256"/>
      <c r="F22" s="257"/>
      <c r="G22" s="257"/>
      <c r="H22" s="257"/>
      <c r="I22" s="257"/>
      <c r="J22" s="257"/>
      <c r="K22" s="257"/>
      <c r="L22" s="258" t="s">
        <v>164</v>
      </c>
      <c r="M22" s="259">
        <v>1</v>
      </c>
      <c r="N22" s="256"/>
      <c r="O22" s="257"/>
      <c r="P22" s="257"/>
      <c r="Q22" s="253"/>
      <c r="R22" s="191"/>
    </row>
    <row r="23" spans="1:18" s="199" customFormat="1" ht="33" x14ac:dyDescent="0.25">
      <c r="A23" s="197">
        <v>11</v>
      </c>
      <c r="C23" s="260" t="s">
        <v>165</v>
      </c>
      <c r="D23" s="261"/>
      <c r="E23" s="256"/>
      <c r="F23" s="257"/>
      <c r="G23" s="257"/>
      <c r="H23" s="257"/>
      <c r="I23" s="257"/>
      <c r="J23" s="257"/>
      <c r="K23" s="257"/>
      <c r="L23" s="258" t="s">
        <v>164</v>
      </c>
      <c r="M23" s="262"/>
      <c r="N23" s="256"/>
      <c r="O23" s="257"/>
      <c r="P23" s="257"/>
      <c r="Q23" s="253"/>
    </row>
    <row r="24" spans="1:18" s="199" customFormat="1" ht="17.25" x14ac:dyDescent="0.25">
      <c r="A24" s="197">
        <v>1</v>
      </c>
      <c r="C24" s="260" t="s">
        <v>166</v>
      </c>
      <c r="D24" s="261"/>
      <c r="E24" s="256"/>
      <c r="F24" s="257"/>
      <c r="G24" s="257"/>
      <c r="H24" s="257"/>
      <c r="I24" s="257"/>
      <c r="J24" s="257"/>
      <c r="K24" s="257"/>
      <c r="L24" s="258" t="s">
        <v>164</v>
      </c>
      <c r="M24" s="262"/>
      <c r="N24" s="256"/>
      <c r="O24" s="257"/>
      <c r="P24" s="257"/>
      <c r="Q24" s="253"/>
    </row>
    <row r="25" spans="1:18" s="199" customFormat="1" ht="48.75" x14ac:dyDescent="0.25">
      <c r="A25" s="197">
        <v>111</v>
      </c>
      <c r="C25" s="260" t="s">
        <v>167</v>
      </c>
      <c r="D25" s="261"/>
      <c r="E25" s="256"/>
      <c r="F25" s="257"/>
      <c r="G25" s="257"/>
      <c r="H25" s="257"/>
      <c r="I25" s="257"/>
      <c r="J25" s="257"/>
      <c r="K25" s="257"/>
      <c r="L25" s="258" t="s">
        <v>164</v>
      </c>
      <c r="M25" s="262"/>
      <c r="N25" s="256"/>
      <c r="O25" s="257"/>
      <c r="P25" s="257"/>
      <c r="Q25" s="253"/>
    </row>
    <row r="26" spans="1:18" s="199" customFormat="1" ht="33" x14ac:dyDescent="0.25">
      <c r="A26" s="197">
        <v>11</v>
      </c>
      <c r="C26" s="260" t="s">
        <v>168</v>
      </c>
      <c r="D26" s="261"/>
      <c r="E26" s="256"/>
      <c r="F26" s="257"/>
      <c r="G26" s="257"/>
      <c r="H26" s="257"/>
      <c r="I26" s="257"/>
      <c r="J26" s="257"/>
      <c r="K26" s="257"/>
      <c r="L26" s="263"/>
      <c r="M26" s="262"/>
      <c r="N26" s="256"/>
      <c r="O26" s="257"/>
      <c r="P26" s="257"/>
      <c r="Q26" s="253"/>
    </row>
    <row r="27" spans="1:18" s="199" customFormat="1" ht="33" x14ac:dyDescent="0.25">
      <c r="A27" s="197">
        <v>11</v>
      </c>
      <c r="C27" s="260" t="s">
        <v>169</v>
      </c>
      <c r="D27" s="261"/>
      <c r="E27" s="256"/>
      <c r="F27" s="257"/>
      <c r="G27" s="257"/>
      <c r="H27" s="257"/>
      <c r="I27" s="257"/>
      <c r="J27" s="257"/>
      <c r="K27" s="257"/>
      <c r="L27" s="258" t="s">
        <v>164</v>
      </c>
      <c r="M27" s="262"/>
      <c r="N27" s="256"/>
      <c r="O27" s="257"/>
      <c r="P27" s="257"/>
      <c r="Q27" s="253"/>
    </row>
    <row r="28" spans="1:18" s="199" customFormat="1" ht="33" x14ac:dyDescent="0.25">
      <c r="A28" s="197">
        <v>11</v>
      </c>
      <c r="C28" s="260" t="s">
        <v>170</v>
      </c>
      <c r="D28" s="261"/>
      <c r="E28" s="256"/>
      <c r="F28" s="257"/>
      <c r="G28" s="257"/>
      <c r="H28" s="257"/>
      <c r="I28" s="257"/>
      <c r="J28" s="257"/>
      <c r="K28" s="257"/>
      <c r="L28" s="258" t="s">
        <v>164</v>
      </c>
      <c r="M28" s="262"/>
      <c r="N28" s="256"/>
      <c r="O28" s="257"/>
      <c r="P28" s="257"/>
      <c r="Q28" s="253"/>
    </row>
    <row r="29" spans="1:18" s="199" customFormat="1" ht="48.75" x14ac:dyDescent="0.25">
      <c r="A29" s="197">
        <v>111</v>
      </c>
      <c r="C29" s="260" t="s">
        <v>171</v>
      </c>
      <c r="D29" s="261"/>
      <c r="E29" s="256"/>
      <c r="F29" s="257"/>
      <c r="G29" s="257"/>
      <c r="H29" s="257"/>
      <c r="I29" s="257"/>
      <c r="J29" s="257"/>
      <c r="K29" s="257"/>
      <c r="L29" s="258" t="s">
        <v>164</v>
      </c>
      <c r="M29" s="262"/>
      <c r="N29" s="256"/>
      <c r="O29" s="257"/>
      <c r="P29" s="257"/>
      <c r="Q29" s="253"/>
    </row>
    <row r="30" spans="1:18" s="199" customFormat="1" ht="33" x14ac:dyDescent="0.25">
      <c r="A30" s="197">
        <v>11</v>
      </c>
      <c r="C30" s="260" t="s">
        <v>172</v>
      </c>
      <c r="D30" s="261"/>
      <c r="E30" s="256"/>
      <c r="F30" s="257"/>
      <c r="G30" s="257"/>
      <c r="H30" s="257"/>
      <c r="I30" s="257"/>
      <c r="J30" s="257"/>
      <c r="K30" s="257"/>
      <c r="L30" s="258" t="s">
        <v>164</v>
      </c>
      <c r="M30" s="262"/>
      <c r="N30" s="256"/>
      <c r="O30" s="257"/>
      <c r="P30" s="257"/>
      <c r="Q30" s="253"/>
    </row>
    <row r="31" spans="1:18" s="199" customFormat="1" ht="15.75" customHeight="1" x14ac:dyDescent="0.25">
      <c r="A31" s="197"/>
      <c r="C31" s="260" t="s">
        <v>173</v>
      </c>
      <c r="D31" s="261"/>
      <c r="E31" s="256"/>
      <c r="F31" s="257"/>
      <c r="G31" s="257"/>
      <c r="H31" s="257"/>
      <c r="I31" s="257"/>
      <c r="J31" s="257"/>
      <c r="K31" s="257"/>
      <c r="L31" s="258" t="s">
        <v>164</v>
      </c>
      <c r="M31" s="262"/>
      <c r="N31" s="256"/>
      <c r="O31" s="257"/>
      <c r="P31" s="257"/>
      <c r="Q31" s="253"/>
    </row>
    <row r="32" spans="1:18" s="199" customFormat="1" ht="15.75" customHeight="1" x14ac:dyDescent="0.25">
      <c r="A32" s="197"/>
      <c r="C32" s="260" t="s">
        <v>174</v>
      </c>
      <c r="D32" s="261"/>
      <c r="E32" s="256"/>
      <c r="F32" s="257"/>
      <c r="G32" s="257"/>
      <c r="H32" s="257"/>
      <c r="I32" s="257"/>
      <c r="J32" s="257"/>
      <c r="K32" s="257"/>
      <c r="L32" s="258" t="s">
        <v>164</v>
      </c>
      <c r="M32" s="262"/>
      <c r="N32" s="256"/>
      <c r="O32" s="257"/>
      <c r="P32" s="257"/>
      <c r="Q32" s="253"/>
    </row>
    <row r="33" spans="1:18" s="199" customFormat="1" ht="33" x14ac:dyDescent="0.25">
      <c r="A33" s="197">
        <v>11</v>
      </c>
      <c r="C33" s="260" t="s">
        <v>175</v>
      </c>
      <c r="D33" s="261"/>
      <c r="E33" s="256"/>
      <c r="F33" s="257"/>
      <c r="G33" s="257"/>
      <c r="H33" s="257"/>
      <c r="I33" s="257"/>
      <c r="J33" s="257"/>
      <c r="K33" s="257"/>
      <c r="L33" s="258" t="s">
        <v>164</v>
      </c>
      <c r="M33" s="262"/>
      <c r="N33" s="256"/>
      <c r="O33" s="257"/>
      <c r="P33" s="257"/>
      <c r="Q33" s="253"/>
    </row>
    <row r="34" spans="1:18" s="199" customFormat="1" ht="33" x14ac:dyDescent="0.25">
      <c r="A34" s="197">
        <v>11</v>
      </c>
      <c r="C34" s="260" t="s">
        <v>176</v>
      </c>
      <c r="D34" s="261"/>
      <c r="E34" s="256"/>
      <c r="F34" s="257"/>
      <c r="G34" s="257"/>
      <c r="H34" s="257"/>
      <c r="I34" s="257"/>
      <c r="J34" s="257"/>
      <c r="K34" s="257"/>
      <c r="L34" s="258" t="s">
        <v>164</v>
      </c>
      <c r="M34" s="262"/>
      <c r="N34" s="256"/>
      <c r="O34" s="257"/>
      <c r="P34" s="257"/>
      <c r="Q34" s="253"/>
    </row>
    <row r="35" spans="1:18" s="199" customFormat="1" ht="33" x14ac:dyDescent="0.25">
      <c r="A35" s="197">
        <v>11</v>
      </c>
      <c r="C35" s="260" t="s">
        <v>177</v>
      </c>
      <c r="D35" s="261"/>
      <c r="E35" s="256"/>
      <c r="F35" s="257"/>
      <c r="G35" s="257"/>
      <c r="H35" s="257"/>
      <c r="I35" s="257"/>
      <c r="J35" s="257"/>
      <c r="K35" s="257"/>
      <c r="L35" s="258" t="s">
        <v>164</v>
      </c>
      <c r="M35" s="262"/>
      <c r="N35" s="256"/>
      <c r="O35" s="257"/>
      <c r="P35" s="257"/>
      <c r="Q35" s="253"/>
    </row>
    <row r="36" spans="1:18" s="199" customFormat="1" ht="33" x14ac:dyDescent="0.25">
      <c r="A36" s="197">
        <v>11</v>
      </c>
      <c r="C36" s="260" t="s">
        <v>178</v>
      </c>
      <c r="D36" s="261"/>
      <c r="E36" s="256"/>
      <c r="F36" s="257"/>
      <c r="G36" s="257"/>
      <c r="H36" s="257"/>
      <c r="I36" s="257"/>
      <c r="J36" s="257"/>
      <c r="K36" s="257"/>
      <c r="L36" s="258"/>
      <c r="M36" s="262"/>
      <c r="N36" s="256"/>
      <c r="O36" s="257"/>
      <c r="P36" s="257"/>
      <c r="Q36" s="253"/>
    </row>
    <row r="37" spans="1:18" s="199" customFormat="1" ht="33" x14ac:dyDescent="0.25">
      <c r="A37" s="197">
        <v>11</v>
      </c>
      <c r="C37" s="260" t="s">
        <v>179</v>
      </c>
      <c r="D37" s="261"/>
      <c r="E37" s="256"/>
      <c r="F37" s="257"/>
      <c r="G37" s="257"/>
      <c r="H37" s="257"/>
      <c r="I37" s="257"/>
      <c r="J37" s="257"/>
      <c r="K37" s="257"/>
      <c r="L37" s="258" t="s">
        <v>164</v>
      </c>
      <c r="M37" s="262"/>
      <c r="N37" s="256"/>
      <c r="O37" s="257"/>
      <c r="P37" s="257"/>
      <c r="Q37" s="253"/>
    </row>
    <row r="38" spans="1:18" s="199" customFormat="1" ht="33" x14ac:dyDescent="0.25">
      <c r="A38" s="197">
        <v>11</v>
      </c>
      <c r="C38" s="260" t="s">
        <v>180</v>
      </c>
      <c r="D38" s="261"/>
      <c r="E38" s="256"/>
      <c r="F38" s="257"/>
      <c r="G38" s="257"/>
      <c r="H38" s="257"/>
      <c r="I38" s="257"/>
      <c r="J38" s="257"/>
      <c r="K38" s="257"/>
      <c r="L38" s="258" t="s">
        <v>164</v>
      </c>
      <c r="M38" s="262"/>
      <c r="N38" s="256"/>
      <c r="O38" s="257"/>
      <c r="P38" s="257"/>
      <c r="Q38" s="253"/>
    </row>
    <row r="39" spans="1:18" s="199" customFormat="1" ht="33" x14ac:dyDescent="0.25">
      <c r="A39" s="197">
        <v>11</v>
      </c>
      <c r="C39" s="260" t="s">
        <v>181</v>
      </c>
      <c r="D39" s="261"/>
      <c r="E39" s="256"/>
      <c r="F39" s="257"/>
      <c r="G39" s="257"/>
      <c r="H39" s="257"/>
      <c r="I39" s="257"/>
      <c r="J39" s="257"/>
      <c r="K39" s="257"/>
      <c r="L39" s="258" t="s">
        <v>164</v>
      </c>
      <c r="M39" s="262"/>
      <c r="N39" s="256"/>
      <c r="O39" s="257"/>
      <c r="P39" s="257"/>
      <c r="Q39" s="253"/>
    </row>
    <row r="40" spans="1:18" s="199" customFormat="1" ht="18" customHeight="1" x14ac:dyDescent="0.25">
      <c r="A40" s="197">
        <v>1</v>
      </c>
      <c r="C40" s="260" t="s">
        <v>182</v>
      </c>
      <c r="D40" s="261"/>
      <c r="E40" s="256"/>
      <c r="F40" s="257"/>
      <c r="G40" s="257"/>
      <c r="H40" s="257"/>
      <c r="I40" s="257"/>
      <c r="J40" s="257"/>
      <c r="K40" s="257"/>
      <c r="L40" s="258" t="s">
        <v>164</v>
      </c>
      <c r="M40" s="262"/>
      <c r="N40" s="256"/>
      <c r="O40" s="257"/>
      <c r="P40" s="257"/>
      <c r="Q40" s="253"/>
    </row>
    <row r="41" spans="1:18" s="199" customFormat="1" ht="18" customHeight="1" x14ac:dyDescent="0.25">
      <c r="A41" s="197">
        <v>1</v>
      </c>
      <c r="C41" s="260" t="s">
        <v>183</v>
      </c>
      <c r="D41" s="261"/>
      <c r="E41" s="256"/>
      <c r="F41" s="257"/>
      <c r="G41" s="257"/>
      <c r="H41" s="257"/>
      <c r="I41" s="257"/>
      <c r="J41" s="257"/>
      <c r="K41" s="257"/>
      <c r="L41" s="258" t="s">
        <v>164</v>
      </c>
      <c r="M41" s="262"/>
      <c r="N41" s="256"/>
      <c r="O41" s="257"/>
      <c r="P41" s="257"/>
      <c r="Q41" s="253"/>
    </row>
    <row r="42" spans="1:18" s="199" customFormat="1" ht="33" x14ac:dyDescent="0.25">
      <c r="A42" s="197">
        <v>11</v>
      </c>
      <c r="C42" s="260" t="s">
        <v>184</v>
      </c>
      <c r="D42" s="261"/>
      <c r="E42" s="256"/>
      <c r="F42" s="257"/>
      <c r="G42" s="257"/>
      <c r="H42" s="257"/>
      <c r="I42" s="257"/>
      <c r="J42" s="257"/>
      <c r="K42" s="257"/>
      <c r="L42" s="258" t="s">
        <v>164</v>
      </c>
      <c r="M42" s="262"/>
      <c r="N42" s="256"/>
      <c r="O42" s="257"/>
      <c r="P42" s="257"/>
      <c r="Q42" s="253"/>
    </row>
    <row r="43" spans="1:18" s="199" customFormat="1" ht="33" x14ac:dyDescent="0.25">
      <c r="A43" s="197">
        <v>11</v>
      </c>
      <c r="C43" s="260" t="s">
        <v>185</v>
      </c>
      <c r="D43" s="261"/>
      <c r="E43" s="256"/>
      <c r="F43" s="257"/>
      <c r="G43" s="257"/>
      <c r="H43" s="257"/>
      <c r="I43" s="257"/>
      <c r="J43" s="257"/>
      <c r="K43" s="257"/>
      <c r="L43" s="263"/>
      <c r="M43" s="262"/>
      <c r="N43" s="256"/>
      <c r="O43" s="257"/>
      <c r="P43" s="257"/>
      <c r="Q43" s="253"/>
    </row>
    <row r="44" spans="1:18" s="199" customFormat="1" ht="33" x14ac:dyDescent="0.25">
      <c r="A44" s="197">
        <v>11</v>
      </c>
      <c r="C44" s="260" t="s">
        <v>186</v>
      </c>
      <c r="D44" s="261"/>
      <c r="E44" s="256"/>
      <c r="F44" s="257"/>
      <c r="G44" s="257"/>
      <c r="H44" s="257"/>
      <c r="I44" s="257"/>
      <c r="J44" s="257"/>
      <c r="K44" s="257"/>
      <c r="L44" s="258" t="s">
        <v>164</v>
      </c>
      <c r="M44" s="262"/>
      <c r="N44" s="256"/>
      <c r="O44" s="257"/>
      <c r="P44" s="257"/>
      <c r="Q44" s="253"/>
    </row>
    <row r="45" spans="1:18" s="199" customFormat="1" ht="15.75" customHeight="1" x14ac:dyDescent="0.25">
      <c r="A45" s="197"/>
      <c r="C45" s="260" t="s">
        <v>187</v>
      </c>
      <c r="D45" s="261"/>
      <c r="E45" s="256"/>
      <c r="F45" s="257"/>
      <c r="G45" s="257"/>
      <c r="H45" s="257"/>
      <c r="I45" s="257"/>
      <c r="J45" s="257"/>
      <c r="K45" s="257"/>
      <c r="L45" s="258" t="s">
        <v>164</v>
      </c>
      <c r="M45" s="262"/>
      <c r="N45" s="256"/>
      <c r="O45" s="257"/>
      <c r="P45" s="257"/>
      <c r="Q45" s="253"/>
    </row>
    <row r="46" spans="1:18" s="199" customFormat="1" ht="16.5" thickBot="1" x14ac:dyDescent="0.3">
      <c r="A46" s="197"/>
      <c r="C46" s="264"/>
      <c r="D46" s="265"/>
      <c r="E46" s="266"/>
      <c r="F46" s="267"/>
      <c r="G46" s="267"/>
      <c r="H46" s="267"/>
      <c r="I46" s="267"/>
      <c r="J46" s="267"/>
      <c r="K46" s="267"/>
      <c r="L46" s="268"/>
      <c r="M46" s="269"/>
      <c r="N46" s="266"/>
      <c r="O46" s="267"/>
      <c r="P46" s="267"/>
      <c r="Q46" s="270"/>
      <c r="R46" s="191"/>
    </row>
    <row r="47" spans="1:18" s="199" customFormat="1" ht="16.5" thickBot="1" x14ac:dyDescent="0.3">
      <c r="A47" s="197"/>
      <c r="C47" s="271" t="s">
        <v>188</v>
      </c>
      <c r="D47" s="271"/>
      <c r="R47" s="191"/>
    </row>
    <row r="48" spans="1:18" s="199" customFormat="1" ht="49.5" thickBot="1" x14ac:dyDescent="0.3">
      <c r="A48" s="197">
        <v>111</v>
      </c>
      <c r="C48" s="272"/>
      <c r="D48" s="273"/>
      <c r="E48" s="273"/>
      <c r="F48" s="273"/>
      <c r="G48" s="273"/>
      <c r="H48" s="273"/>
      <c r="I48" s="273"/>
      <c r="J48" s="273"/>
      <c r="K48" s="273"/>
      <c r="L48" s="273"/>
      <c r="M48" s="273"/>
      <c r="N48" s="273"/>
      <c r="O48" s="273"/>
      <c r="P48" s="273"/>
      <c r="Q48" s="274"/>
      <c r="R48" s="191"/>
    </row>
    <row r="49" spans="1:18" s="199" customFormat="1" ht="15.75" x14ac:dyDescent="0.25">
      <c r="A49" s="197"/>
      <c r="R49" s="191"/>
    </row>
    <row r="50" spans="1:18" s="199" customFormat="1" ht="15.75" x14ac:dyDescent="0.25">
      <c r="A50" s="197"/>
      <c r="R50" s="191"/>
    </row>
    <row r="51" spans="1:18" s="199" customFormat="1" ht="15.75" x14ac:dyDescent="0.25">
      <c r="A51" s="197"/>
      <c r="R51" s="191"/>
    </row>
    <row r="52" spans="1:18" s="199" customFormat="1" ht="15.75" x14ac:dyDescent="0.25">
      <c r="A52" s="197"/>
      <c r="R52" s="191"/>
    </row>
    <row r="53" spans="1:18" s="199" customFormat="1" ht="15.75" x14ac:dyDescent="0.25">
      <c r="A53" s="197"/>
      <c r="R53" s="191"/>
    </row>
  </sheetData>
  <mergeCells count="52">
    <mergeCell ref="C45:D45"/>
    <mergeCell ref="C46:D46"/>
    <mergeCell ref="C47:D47"/>
    <mergeCell ref="C48:Q48"/>
    <mergeCell ref="C39:D39"/>
    <mergeCell ref="C40:D40"/>
    <mergeCell ref="C41:D41"/>
    <mergeCell ref="C42:D42"/>
    <mergeCell ref="C43:D43"/>
    <mergeCell ref="C44:D44"/>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B9:C11"/>
    <mergeCell ref="D9:Q9"/>
    <mergeCell ref="D10:Q10"/>
    <mergeCell ref="D11:Q11"/>
    <mergeCell ref="B13:D13"/>
    <mergeCell ref="C19:D20"/>
    <mergeCell ref="E19:K19"/>
    <mergeCell ref="L19:M20"/>
    <mergeCell ref="N19:P19"/>
    <mergeCell ref="Q19:Q20"/>
    <mergeCell ref="H6:K6"/>
    <mergeCell ref="N6:P6"/>
    <mergeCell ref="H7:K7"/>
    <mergeCell ref="L7:M7"/>
    <mergeCell ref="N7:P7"/>
    <mergeCell ref="H8:K8"/>
    <mergeCell ref="L8:M8"/>
    <mergeCell ref="N8:P8"/>
    <mergeCell ref="D1:P1"/>
    <mergeCell ref="D2:P2"/>
    <mergeCell ref="Q2:Q4"/>
    <mergeCell ref="P3:P4"/>
    <mergeCell ref="H5:K5"/>
    <mergeCell ref="N5:P5"/>
  </mergeCells>
  <conditionalFormatting sqref="C22:D45">
    <cfRule type="duplicateValues" dxfId="1" priority="1"/>
  </conditionalFormatting>
  <conditionalFormatting sqref="C23:D45">
    <cfRule type="duplicateValues" dxfId="0" priority="2"/>
  </conditionalFormatting>
  <dataValidations count="1">
    <dataValidation type="list" allowBlank="1" showInputMessage="1" showErrorMessage="1" sqref="Q21:Q45" xr:uid="{8D58056F-FA48-4A15-B02A-453057A19CA6}">
      <formula1>$I$14:$I$16</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A27B0-7FEB-46AF-BF40-065E49D39B14}">
  <sheetPr>
    <tabColor rgb="FFCCFFCC"/>
  </sheetPr>
  <dimension ref="A1:S35"/>
  <sheetViews>
    <sheetView zoomScale="85" zoomScaleNormal="85" workbookViewId="0">
      <selection activeCell="C8" sqref="C8:E8"/>
    </sheetView>
  </sheetViews>
  <sheetFormatPr baseColWidth="10" defaultRowHeight="18.75" customHeight="1" x14ac:dyDescent="0.25"/>
  <cols>
    <col min="1" max="1" width="3.7109375" style="283" customWidth="1"/>
    <col min="2" max="2" width="27.7109375" style="353" customWidth="1"/>
    <col min="3" max="3" width="15.85546875" style="333" customWidth="1"/>
    <col min="4" max="4" width="82" style="354" customWidth="1"/>
    <col min="5" max="5" width="16.28515625" style="199" customWidth="1"/>
    <col min="6" max="6" width="16.42578125" style="199" customWidth="1"/>
    <col min="7" max="7" width="22.28515625" style="199" customWidth="1"/>
    <col min="8" max="8" width="21.28515625" style="199" customWidth="1"/>
    <col min="9" max="256" width="11.42578125" style="199"/>
    <col min="257" max="257" width="3.7109375" style="199" customWidth="1"/>
    <col min="258" max="258" width="27.7109375" style="199" customWidth="1"/>
    <col min="259" max="259" width="15.85546875" style="199" customWidth="1"/>
    <col min="260" max="260" width="82" style="199" customWidth="1"/>
    <col min="261" max="261" width="13.7109375" style="199" customWidth="1"/>
    <col min="262" max="262" width="16.42578125" style="199" customWidth="1"/>
    <col min="263" max="263" width="22.28515625" style="199" customWidth="1"/>
    <col min="264" max="264" width="21.28515625" style="199" customWidth="1"/>
    <col min="265" max="512" width="11.42578125" style="199"/>
    <col min="513" max="513" width="3.7109375" style="199" customWidth="1"/>
    <col min="514" max="514" width="27.7109375" style="199" customWidth="1"/>
    <col min="515" max="515" width="15.85546875" style="199" customWidth="1"/>
    <col min="516" max="516" width="82" style="199" customWidth="1"/>
    <col min="517" max="517" width="13.7109375" style="199" customWidth="1"/>
    <col min="518" max="518" width="16.42578125" style="199" customWidth="1"/>
    <col min="519" max="519" width="22.28515625" style="199" customWidth="1"/>
    <col min="520" max="520" width="21.28515625" style="199" customWidth="1"/>
    <col min="521" max="768" width="11.42578125" style="199"/>
    <col min="769" max="769" width="3.7109375" style="199" customWidth="1"/>
    <col min="770" max="770" width="27.7109375" style="199" customWidth="1"/>
    <col min="771" max="771" width="15.85546875" style="199" customWidth="1"/>
    <col min="772" max="772" width="82" style="199" customWidth="1"/>
    <col min="773" max="773" width="13.7109375" style="199" customWidth="1"/>
    <col min="774" max="774" width="16.42578125" style="199" customWidth="1"/>
    <col min="775" max="775" width="22.28515625" style="199" customWidth="1"/>
    <col min="776" max="776" width="21.28515625" style="199" customWidth="1"/>
    <col min="777" max="1024" width="11.42578125" style="199"/>
    <col min="1025" max="1025" width="3.7109375" style="199" customWidth="1"/>
    <col min="1026" max="1026" width="27.7109375" style="199" customWidth="1"/>
    <col min="1027" max="1027" width="15.85546875" style="199" customWidth="1"/>
    <col min="1028" max="1028" width="82" style="199" customWidth="1"/>
    <col min="1029" max="1029" width="13.7109375" style="199" customWidth="1"/>
    <col min="1030" max="1030" width="16.42578125" style="199" customWidth="1"/>
    <col min="1031" max="1031" width="22.28515625" style="199" customWidth="1"/>
    <col min="1032" max="1032" width="21.28515625" style="199" customWidth="1"/>
    <col min="1033" max="1280" width="11.42578125" style="199"/>
    <col min="1281" max="1281" width="3.7109375" style="199" customWidth="1"/>
    <col min="1282" max="1282" width="27.7109375" style="199" customWidth="1"/>
    <col min="1283" max="1283" width="15.85546875" style="199" customWidth="1"/>
    <col min="1284" max="1284" width="82" style="199" customWidth="1"/>
    <col min="1285" max="1285" width="13.7109375" style="199" customWidth="1"/>
    <col min="1286" max="1286" width="16.42578125" style="199" customWidth="1"/>
    <col min="1287" max="1287" width="22.28515625" style="199" customWidth="1"/>
    <col min="1288" max="1288" width="21.28515625" style="199" customWidth="1"/>
    <col min="1289" max="1536" width="11.42578125" style="199"/>
    <col min="1537" max="1537" width="3.7109375" style="199" customWidth="1"/>
    <col min="1538" max="1538" width="27.7109375" style="199" customWidth="1"/>
    <col min="1539" max="1539" width="15.85546875" style="199" customWidth="1"/>
    <col min="1540" max="1540" width="82" style="199" customWidth="1"/>
    <col min="1541" max="1541" width="13.7109375" style="199" customWidth="1"/>
    <col min="1542" max="1542" width="16.42578125" style="199" customWidth="1"/>
    <col min="1543" max="1543" width="22.28515625" style="199" customWidth="1"/>
    <col min="1544" max="1544" width="21.28515625" style="199" customWidth="1"/>
    <col min="1545" max="1792" width="11.42578125" style="199"/>
    <col min="1793" max="1793" width="3.7109375" style="199" customWidth="1"/>
    <col min="1794" max="1794" width="27.7109375" style="199" customWidth="1"/>
    <col min="1795" max="1795" width="15.85546875" style="199" customWidth="1"/>
    <col min="1796" max="1796" width="82" style="199" customWidth="1"/>
    <col min="1797" max="1797" width="13.7109375" style="199" customWidth="1"/>
    <col min="1798" max="1798" width="16.42578125" style="199" customWidth="1"/>
    <col min="1799" max="1799" width="22.28515625" style="199" customWidth="1"/>
    <col min="1800" max="1800" width="21.28515625" style="199" customWidth="1"/>
    <col min="1801" max="2048" width="11.42578125" style="199"/>
    <col min="2049" max="2049" width="3.7109375" style="199" customWidth="1"/>
    <col min="2050" max="2050" width="27.7109375" style="199" customWidth="1"/>
    <col min="2051" max="2051" width="15.85546875" style="199" customWidth="1"/>
    <col min="2052" max="2052" width="82" style="199" customWidth="1"/>
    <col min="2053" max="2053" width="13.7109375" style="199" customWidth="1"/>
    <col min="2054" max="2054" width="16.42578125" style="199" customWidth="1"/>
    <col min="2055" max="2055" width="22.28515625" style="199" customWidth="1"/>
    <col min="2056" max="2056" width="21.28515625" style="199" customWidth="1"/>
    <col min="2057" max="2304" width="11.42578125" style="199"/>
    <col min="2305" max="2305" width="3.7109375" style="199" customWidth="1"/>
    <col min="2306" max="2306" width="27.7109375" style="199" customWidth="1"/>
    <col min="2307" max="2307" width="15.85546875" style="199" customWidth="1"/>
    <col min="2308" max="2308" width="82" style="199" customWidth="1"/>
    <col min="2309" max="2309" width="13.7109375" style="199" customWidth="1"/>
    <col min="2310" max="2310" width="16.42578125" style="199" customWidth="1"/>
    <col min="2311" max="2311" width="22.28515625" style="199" customWidth="1"/>
    <col min="2312" max="2312" width="21.28515625" style="199" customWidth="1"/>
    <col min="2313" max="2560" width="11.42578125" style="199"/>
    <col min="2561" max="2561" width="3.7109375" style="199" customWidth="1"/>
    <col min="2562" max="2562" width="27.7109375" style="199" customWidth="1"/>
    <col min="2563" max="2563" width="15.85546875" style="199" customWidth="1"/>
    <col min="2564" max="2564" width="82" style="199" customWidth="1"/>
    <col min="2565" max="2565" width="13.7109375" style="199" customWidth="1"/>
    <col min="2566" max="2566" width="16.42578125" style="199" customWidth="1"/>
    <col min="2567" max="2567" width="22.28515625" style="199" customWidth="1"/>
    <col min="2568" max="2568" width="21.28515625" style="199" customWidth="1"/>
    <col min="2569" max="2816" width="11.42578125" style="199"/>
    <col min="2817" max="2817" width="3.7109375" style="199" customWidth="1"/>
    <col min="2818" max="2818" width="27.7109375" style="199" customWidth="1"/>
    <col min="2819" max="2819" width="15.85546875" style="199" customWidth="1"/>
    <col min="2820" max="2820" width="82" style="199" customWidth="1"/>
    <col min="2821" max="2821" width="13.7109375" style="199" customWidth="1"/>
    <col min="2822" max="2822" width="16.42578125" style="199" customWidth="1"/>
    <col min="2823" max="2823" width="22.28515625" style="199" customWidth="1"/>
    <col min="2824" max="2824" width="21.28515625" style="199" customWidth="1"/>
    <col min="2825" max="3072" width="11.42578125" style="199"/>
    <col min="3073" max="3073" width="3.7109375" style="199" customWidth="1"/>
    <col min="3074" max="3074" width="27.7109375" style="199" customWidth="1"/>
    <col min="3075" max="3075" width="15.85546875" style="199" customWidth="1"/>
    <col min="3076" max="3076" width="82" style="199" customWidth="1"/>
    <col min="3077" max="3077" width="13.7109375" style="199" customWidth="1"/>
    <col min="3078" max="3078" width="16.42578125" style="199" customWidth="1"/>
    <col min="3079" max="3079" width="22.28515625" style="199" customWidth="1"/>
    <col min="3080" max="3080" width="21.28515625" style="199" customWidth="1"/>
    <col min="3081" max="3328" width="11.42578125" style="199"/>
    <col min="3329" max="3329" width="3.7109375" style="199" customWidth="1"/>
    <col min="3330" max="3330" width="27.7109375" style="199" customWidth="1"/>
    <col min="3331" max="3331" width="15.85546875" style="199" customWidth="1"/>
    <col min="3332" max="3332" width="82" style="199" customWidth="1"/>
    <col min="3333" max="3333" width="13.7109375" style="199" customWidth="1"/>
    <col min="3334" max="3334" width="16.42578125" style="199" customWidth="1"/>
    <col min="3335" max="3335" width="22.28515625" style="199" customWidth="1"/>
    <col min="3336" max="3336" width="21.28515625" style="199" customWidth="1"/>
    <col min="3337" max="3584" width="11.42578125" style="199"/>
    <col min="3585" max="3585" width="3.7109375" style="199" customWidth="1"/>
    <col min="3586" max="3586" width="27.7109375" style="199" customWidth="1"/>
    <col min="3587" max="3587" width="15.85546875" style="199" customWidth="1"/>
    <col min="3588" max="3588" width="82" style="199" customWidth="1"/>
    <col min="3589" max="3589" width="13.7109375" style="199" customWidth="1"/>
    <col min="3590" max="3590" width="16.42578125" style="199" customWidth="1"/>
    <col min="3591" max="3591" width="22.28515625" style="199" customWidth="1"/>
    <col min="3592" max="3592" width="21.28515625" style="199" customWidth="1"/>
    <col min="3593" max="3840" width="11.42578125" style="199"/>
    <col min="3841" max="3841" width="3.7109375" style="199" customWidth="1"/>
    <col min="3842" max="3842" width="27.7109375" style="199" customWidth="1"/>
    <col min="3843" max="3843" width="15.85546875" style="199" customWidth="1"/>
    <col min="3844" max="3844" width="82" style="199" customWidth="1"/>
    <col min="3845" max="3845" width="13.7109375" style="199" customWidth="1"/>
    <col min="3846" max="3846" width="16.42578125" style="199" customWidth="1"/>
    <col min="3847" max="3847" width="22.28515625" style="199" customWidth="1"/>
    <col min="3848" max="3848" width="21.28515625" style="199" customWidth="1"/>
    <col min="3849" max="4096" width="11.42578125" style="199"/>
    <col min="4097" max="4097" width="3.7109375" style="199" customWidth="1"/>
    <col min="4098" max="4098" width="27.7109375" style="199" customWidth="1"/>
    <col min="4099" max="4099" width="15.85546875" style="199" customWidth="1"/>
    <col min="4100" max="4100" width="82" style="199" customWidth="1"/>
    <col min="4101" max="4101" width="13.7109375" style="199" customWidth="1"/>
    <col min="4102" max="4102" width="16.42578125" style="199" customWidth="1"/>
    <col min="4103" max="4103" width="22.28515625" style="199" customWidth="1"/>
    <col min="4104" max="4104" width="21.28515625" style="199" customWidth="1"/>
    <col min="4105" max="4352" width="11.42578125" style="199"/>
    <col min="4353" max="4353" width="3.7109375" style="199" customWidth="1"/>
    <col min="4354" max="4354" width="27.7109375" style="199" customWidth="1"/>
    <col min="4355" max="4355" width="15.85546875" style="199" customWidth="1"/>
    <col min="4356" max="4356" width="82" style="199" customWidth="1"/>
    <col min="4357" max="4357" width="13.7109375" style="199" customWidth="1"/>
    <col min="4358" max="4358" width="16.42578125" style="199" customWidth="1"/>
    <col min="4359" max="4359" width="22.28515625" style="199" customWidth="1"/>
    <col min="4360" max="4360" width="21.28515625" style="199" customWidth="1"/>
    <col min="4361" max="4608" width="11.42578125" style="199"/>
    <col min="4609" max="4609" width="3.7109375" style="199" customWidth="1"/>
    <col min="4610" max="4610" width="27.7109375" style="199" customWidth="1"/>
    <col min="4611" max="4611" width="15.85546875" style="199" customWidth="1"/>
    <col min="4612" max="4612" width="82" style="199" customWidth="1"/>
    <col min="4613" max="4613" width="13.7109375" style="199" customWidth="1"/>
    <col min="4614" max="4614" width="16.42578125" style="199" customWidth="1"/>
    <col min="4615" max="4615" width="22.28515625" style="199" customWidth="1"/>
    <col min="4616" max="4616" width="21.28515625" style="199" customWidth="1"/>
    <col min="4617" max="4864" width="11.42578125" style="199"/>
    <col min="4865" max="4865" width="3.7109375" style="199" customWidth="1"/>
    <col min="4866" max="4866" width="27.7109375" style="199" customWidth="1"/>
    <col min="4867" max="4867" width="15.85546875" style="199" customWidth="1"/>
    <col min="4868" max="4868" width="82" style="199" customWidth="1"/>
    <col min="4869" max="4869" width="13.7109375" style="199" customWidth="1"/>
    <col min="4870" max="4870" width="16.42578125" style="199" customWidth="1"/>
    <col min="4871" max="4871" width="22.28515625" style="199" customWidth="1"/>
    <col min="4872" max="4872" width="21.28515625" style="199" customWidth="1"/>
    <col min="4873" max="5120" width="11.42578125" style="199"/>
    <col min="5121" max="5121" width="3.7109375" style="199" customWidth="1"/>
    <col min="5122" max="5122" width="27.7109375" style="199" customWidth="1"/>
    <col min="5123" max="5123" width="15.85546875" style="199" customWidth="1"/>
    <col min="5124" max="5124" width="82" style="199" customWidth="1"/>
    <col min="5125" max="5125" width="13.7109375" style="199" customWidth="1"/>
    <col min="5126" max="5126" width="16.42578125" style="199" customWidth="1"/>
    <col min="5127" max="5127" width="22.28515625" style="199" customWidth="1"/>
    <col min="5128" max="5128" width="21.28515625" style="199" customWidth="1"/>
    <col min="5129" max="5376" width="11.42578125" style="199"/>
    <col min="5377" max="5377" width="3.7109375" style="199" customWidth="1"/>
    <col min="5378" max="5378" width="27.7109375" style="199" customWidth="1"/>
    <col min="5379" max="5379" width="15.85546875" style="199" customWidth="1"/>
    <col min="5380" max="5380" width="82" style="199" customWidth="1"/>
    <col min="5381" max="5381" width="13.7109375" style="199" customWidth="1"/>
    <col min="5382" max="5382" width="16.42578125" style="199" customWidth="1"/>
    <col min="5383" max="5383" width="22.28515625" style="199" customWidth="1"/>
    <col min="5384" max="5384" width="21.28515625" style="199" customWidth="1"/>
    <col min="5385" max="5632" width="11.42578125" style="199"/>
    <col min="5633" max="5633" width="3.7109375" style="199" customWidth="1"/>
    <col min="5634" max="5634" width="27.7109375" style="199" customWidth="1"/>
    <col min="5635" max="5635" width="15.85546875" style="199" customWidth="1"/>
    <col min="5636" max="5636" width="82" style="199" customWidth="1"/>
    <col min="5637" max="5637" width="13.7109375" style="199" customWidth="1"/>
    <col min="5638" max="5638" width="16.42578125" style="199" customWidth="1"/>
    <col min="5639" max="5639" width="22.28515625" style="199" customWidth="1"/>
    <col min="5640" max="5640" width="21.28515625" style="199" customWidth="1"/>
    <col min="5641" max="5888" width="11.42578125" style="199"/>
    <col min="5889" max="5889" width="3.7109375" style="199" customWidth="1"/>
    <col min="5890" max="5890" width="27.7109375" style="199" customWidth="1"/>
    <col min="5891" max="5891" width="15.85546875" style="199" customWidth="1"/>
    <col min="5892" max="5892" width="82" style="199" customWidth="1"/>
    <col min="5893" max="5893" width="13.7109375" style="199" customWidth="1"/>
    <col min="5894" max="5894" width="16.42578125" style="199" customWidth="1"/>
    <col min="5895" max="5895" width="22.28515625" style="199" customWidth="1"/>
    <col min="5896" max="5896" width="21.28515625" style="199" customWidth="1"/>
    <col min="5897" max="6144" width="11.42578125" style="199"/>
    <col min="6145" max="6145" width="3.7109375" style="199" customWidth="1"/>
    <col min="6146" max="6146" width="27.7109375" style="199" customWidth="1"/>
    <col min="6147" max="6147" width="15.85546875" style="199" customWidth="1"/>
    <col min="6148" max="6148" width="82" style="199" customWidth="1"/>
    <col min="6149" max="6149" width="13.7109375" style="199" customWidth="1"/>
    <col min="6150" max="6150" width="16.42578125" style="199" customWidth="1"/>
    <col min="6151" max="6151" width="22.28515625" style="199" customWidth="1"/>
    <col min="6152" max="6152" width="21.28515625" style="199" customWidth="1"/>
    <col min="6153" max="6400" width="11.42578125" style="199"/>
    <col min="6401" max="6401" width="3.7109375" style="199" customWidth="1"/>
    <col min="6402" max="6402" width="27.7109375" style="199" customWidth="1"/>
    <col min="6403" max="6403" width="15.85546875" style="199" customWidth="1"/>
    <col min="6404" max="6404" width="82" style="199" customWidth="1"/>
    <col min="6405" max="6405" width="13.7109375" style="199" customWidth="1"/>
    <col min="6406" max="6406" width="16.42578125" style="199" customWidth="1"/>
    <col min="6407" max="6407" width="22.28515625" style="199" customWidth="1"/>
    <col min="6408" max="6408" width="21.28515625" style="199" customWidth="1"/>
    <col min="6409" max="6656" width="11.42578125" style="199"/>
    <col min="6657" max="6657" width="3.7109375" style="199" customWidth="1"/>
    <col min="6658" max="6658" width="27.7109375" style="199" customWidth="1"/>
    <col min="6659" max="6659" width="15.85546875" style="199" customWidth="1"/>
    <col min="6660" max="6660" width="82" style="199" customWidth="1"/>
    <col min="6661" max="6661" width="13.7109375" style="199" customWidth="1"/>
    <col min="6662" max="6662" width="16.42578125" style="199" customWidth="1"/>
    <col min="6663" max="6663" width="22.28515625" style="199" customWidth="1"/>
    <col min="6664" max="6664" width="21.28515625" style="199" customWidth="1"/>
    <col min="6665" max="6912" width="11.42578125" style="199"/>
    <col min="6913" max="6913" width="3.7109375" style="199" customWidth="1"/>
    <col min="6914" max="6914" width="27.7109375" style="199" customWidth="1"/>
    <col min="6915" max="6915" width="15.85546875" style="199" customWidth="1"/>
    <col min="6916" max="6916" width="82" style="199" customWidth="1"/>
    <col min="6917" max="6917" width="13.7109375" style="199" customWidth="1"/>
    <col min="6918" max="6918" width="16.42578125" style="199" customWidth="1"/>
    <col min="6919" max="6919" width="22.28515625" style="199" customWidth="1"/>
    <col min="6920" max="6920" width="21.28515625" style="199" customWidth="1"/>
    <col min="6921" max="7168" width="11.42578125" style="199"/>
    <col min="7169" max="7169" width="3.7109375" style="199" customWidth="1"/>
    <col min="7170" max="7170" width="27.7109375" style="199" customWidth="1"/>
    <col min="7171" max="7171" width="15.85546875" style="199" customWidth="1"/>
    <col min="7172" max="7172" width="82" style="199" customWidth="1"/>
    <col min="7173" max="7173" width="13.7109375" style="199" customWidth="1"/>
    <col min="7174" max="7174" width="16.42578125" style="199" customWidth="1"/>
    <col min="7175" max="7175" width="22.28515625" style="199" customWidth="1"/>
    <col min="7176" max="7176" width="21.28515625" style="199" customWidth="1"/>
    <col min="7177" max="7424" width="11.42578125" style="199"/>
    <col min="7425" max="7425" width="3.7109375" style="199" customWidth="1"/>
    <col min="7426" max="7426" width="27.7109375" style="199" customWidth="1"/>
    <col min="7427" max="7427" width="15.85546875" style="199" customWidth="1"/>
    <col min="7428" max="7428" width="82" style="199" customWidth="1"/>
    <col min="7429" max="7429" width="13.7109375" style="199" customWidth="1"/>
    <col min="7430" max="7430" width="16.42578125" style="199" customWidth="1"/>
    <col min="7431" max="7431" width="22.28515625" style="199" customWidth="1"/>
    <col min="7432" max="7432" width="21.28515625" style="199" customWidth="1"/>
    <col min="7433" max="7680" width="11.42578125" style="199"/>
    <col min="7681" max="7681" width="3.7109375" style="199" customWidth="1"/>
    <col min="7682" max="7682" width="27.7109375" style="199" customWidth="1"/>
    <col min="7683" max="7683" width="15.85546875" style="199" customWidth="1"/>
    <col min="7684" max="7684" width="82" style="199" customWidth="1"/>
    <col min="7685" max="7685" width="13.7109375" style="199" customWidth="1"/>
    <col min="7686" max="7686" width="16.42578125" style="199" customWidth="1"/>
    <col min="7687" max="7687" width="22.28515625" style="199" customWidth="1"/>
    <col min="7688" max="7688" width="21.28515625" style="199" customWidth="1"/>
    <col min="7689" max="7936" width="11.42578125" style="199"/>
    <col min="7937" max="7937" width="3.7109375" style="199" customWidth="1"/>
    <col min="7938" max="7938" width="27.7109375" style="199" customWidth="1"/>
    <col min="7939" max="7939" width="15.85546875" style="199" customWidth="1"/>
    <col min="7940" max="7940" width="82" style="199" customWidth="1"/>
    <col min="7941" max="7941" width="13.7109375" style="199" customWidth="1"/>
    <col min="7942" max="7942" width="16.42578125" style="199" customWidth="1"/>
    <col min="7943" max="7943" width="22.28515625" style="199" customWidth="1"/>
    <col min="7944" max="7944" width="21.28515625" style="199" customWidth="1"/>
    <col min="7945" max="8192" width="11.42578125" style="199"/>
    <col min="8193" max="8193" width="3.7109375" style="199" customWidth="1"/>
    <col min="8194" max="8194" width="27.7109375" style="199" customWidth="1"/>
    <col min="8195" max="8195" width="15.85546875" style="199" customWidth="1"/>
    <col min="8196" max="8196" width="82" style="199" customWidth="1"/>
    <col min="8197" max="8197" width="13.7109375" style="199" customWidth="1"/>
    <col min="8198" max="8198" width="16.42578125" style="199" customWidth="1"/>
    <col min="8199" max="8199" width="22.28515625" style="199" customWidth="1"/>
    <col min="8200" max="8200" width="21.28515625" style="199" customWidth="1"/>
    <col min="8201" max="8448" width="11.42578125" style="199"/>
    <col min="8449" max="8449" width="3.7109375" style="199" customWidth="1"/>
    <col min="8450" max="8450" width="27.7109375" style="199" customWidth="1"/>
    <col min="8451" max="8451" width="15.85546875" style="199" customWidth="1"/>
    <col min="8452" max="8452" width="82" style="199" customWidth="1"/>
    <col min="8453" max="8453" width="13.7109375" style="199" customWidth="1"/>
    <col min="8454" max="8454" width="16.42578125" style="199" customWidth="1"/>
    <col min="8455" max="8455" width="22.28515625" style="199" customWidth="1"/>
    <col min="8456" max="8456" width="21.28515625" style="199" customWidth="1"/>
    <col min="8457" max="8704" width="11.42578125" style="199"/>
    <col min="8705" max="8705" width="3.7109375" style="199" customWidth="1"/>
    <col min="8706" max="8706" width="27.7109375" style="199" customWidth="1"/>
    <col min="8707" max="8707" width="15.85546875" style="199" customWidth="1"/>
    <col min="8708" max="8708" width="82" style="199" customWidth="1"/>
    <col min="8709" max="8709" width="13.7109375" style="199" customWidth="1"/>
    <col min="8710" max="8710" width="16.42578125" style="199" customWidth="1"/>
    <col min="8711" max="8711" width="22.28515625" style="199" customWidth="1"/>
    <col min="8712" max="8712" width="21.28515625" style="199" customWidth="1"/>
    <col min="8713" max="8960" width="11.42578125" style="199"/>
    <col min="8961" max="8961" width="3.7109375" style="199" customWidth="1"/>
    <col min="8962" max="8962" width="27.7109375" style="199" customWidth="1"/>
    <col min="8963" max="8963" width="15.85546875" style="199" customWidth="1"/>
    <col min="8964" max="8964" width="82" style="199" customWidth="1"/>
    <col min="8965" max="8965" width="13.7109375" style="199" customWidth="1"/>
    <col min="8966" max="8966" width="16.42578125" style="199" customWidth="1"/>
    <col min="8967" max="8967" width="22.28515625" style="199" customWidth="1"/>
    <col min="8968" max="8968" width="21.28515625" style="199" customWidth="1"/>
    <col min="8969" max="9216" width="11.42578125" style="199"/>
    <col min="9217" max="9217" width="3.7109375" style="199" customWidth="1"/>
    <col min="9218" max="9218" width="27.7109375" style="199" customWidth="1"/>
    <col min="9219" max="9219" width="15.85546875" style="199" customWidth="1"/>
    <col min="9220" max="9220" width="82" style="199" customWidth="1"/>
    <col min="9221" max="9221" width="13.7109375" style="199" customWidth="1"/>
    <col min="9222" max="9222" width="16.42578125" style="199" customWidth="1"/>
    <col min="9223" max="9223" width="22.28515625" style="199" customWidth="1"/>
    <col min="9224" max="9224" width="21.28515625" style="199" customWidth="1"/>
    <col min="9225" max="9472" width="11.42578125" style="199"/>
    <col min="9473" max="9473" width="3.7109375" style="199" customWidth="1"/>
    <col min="9474" max="9474" width="27.7109375" style="199" customWidth="1"/>
    <col min="9475" max="9475" width="15.85546875" style="199" customWidth="1"/>
    <col min="9476" max="9476" width="82" style="199" customWidth="1"/>
    <col min="9477" max="9477" width="13.7109375" style="199" customWidth="1"/>
    <col min="9478" max="9478" width="16.42578125" style="199" customWidth="1"/>
    <col min="9479" max="9479" width="22.28515625" style="199" customWidth="1"/>
    <col min="9480" max="9480" width="21.28515625" style="199" customWidth="1"/>
    <col min="9481" max="9728" width="11.42578125" style="199"/>
    <col min="9729" max="9729" width="3.7109375" style="199" customWidth="1"/>
    <col min="9730" max="9730" width="27.7109375" style="199" customWidth="1"/>
    <col min="9731" max="9731" width="15.85546875" style="199" customWidth="1"/>
    <col min="9732" max="9732" width="82" style="199" customWidth="1"/>
    <col min="9733" max="9733" width="13.7109375" style="199" customWidth="1"/>
    <col min="9734" max="9734" width="16.42578125" style="199" customWidth="1"/>
    <col min="9735" max="9735" width="22.28515625" style="199" customWidth="1"/>
    <col min="9736" max="9736" width="21.28515625" style="199" customWidth="1"/>
    <col min="9737" max="9984" width="11.42578125" style="199"/>
    <col min="9985" max="9985" width="3.7109375" style="199" customWidth="1"/>
    <col min="9986" max="9986" width="27.7109375" style="199" customWidth="1"/>
    <col min="9987" max="9987" width="15.85546875" style="199" customWidth="1"/>
    <col min="9988" max="9988" width="82" style="199" customWidth="1"/>
    <col min="9989" max="9989" width="13.7109375" style="199" customWidth="1"/>
    <col min="9990" max="9990" width="16.42578125" style="199" customWidth="1"/>
    <col min="9991" max="9991" width="22.28515625" style="199" customWidth="1"/>
    <col min="9992" max="9992" width="21.28515625" style="199" customWidth="1"/>
    <col min="9993" max="10240" width="11.42578125" style="199"/>
    <col min="10241" max="10241" width="3.7109375" style="199" customWidth="1"/>
    <col min="10242" max="10242" width="27.7109375" style="199" customWidth="1"/>
    <col min="10243" max="10243" width="15.85546875" style="199" customWidth="1"/>
    <col min="10244" max="10244" width="82" style="199" customWidth="1"/>
    <col min="10245" max="10245" width="13.7109375" style="199" customWidth="1"/>
    <col min="10246" max="10246" width="16.42578125" style="199" customWidth="1"/>
    <col min="10247" max="10247" width="22.28515625" style="199" customWidth="1"/>
    <col min="10248" max="10248" width="21.28515625" style="199" customWidth="1"/>
    <col min="10249" max="10496" width="11.42578125" style="199"/>
    <col min="10497" max="10497" width="3.7109375" style="199" customWidth="1"/>
    <col min="10498" max="10498" width="27.7109375" style="199" customWidth="1"/>
    <col min="10499" max="10499" width="15.85546875" style="199" customWidth="1"/>
    <col min="10500" max="10500" width="82" style="199" customWidth="1"/>
    <col min="10501" max="10501" width="13.7109375" style="199" customWidth="1"/>
    <col min="10502" max="10502" width="16.42578125" style="199" customWidth="1"/>
    <col min="10503" max="10503" width="22.28515625" style="199" customWidth="1"/>
    <col min="10504" max="10504" width="21.28515625" style="199" customWidth="1"/>
    <col min="10505" max="10752" width="11.42578125" style="199"/>
    <col min="10753" max="10753" width="3.7109375" style="199" customWidth="1"/>
    <col min="10754" max="10754" width="27.7109375" style="199" customWidth="1"/>
    <col min="10755" max="10755" width="15.85546875" style="199" customWidth="1"/>
    <col min="10756" max="10756" width="82" style="199" customWidth="1"/>
    <col min="10757" max="10757" width="13.7109375" style="199" customWidth="1"/>
    <col min="10758" max="10758" width="16.42578125" style="199" customWidth="1"/>
    <col min="10759" max="10759" width="22.28515625" style="199" customWidth="1"/>
    <col min="10760" max="10760" width="21.28515625" style="199" customWidth="1"/>
    <col min="10761" max="11008" width="11.42578125" style="199"/>
    <col min="11009" max="11009" width="3.7109375" style="199" customWidth="1"/>
    <col min="11010" max="11010" width="27.7109375" style="199" customWidth="1"/>
    <col min="11011" max="11011" width="15.85546875" style="199" customWidth="1"/>
    <col min="11012" max="11012" width="82" style="199" customWidth="1"/>
    <col min="11013" max="11013" width="13.7109375" style="199" customWidth="1"/>
    <col min="11014" max="11014" width="16.42578125" style="199" customWidth="1"/>
    <col min="11015" max="11015" width="22.28515625" style="199" customWidth="1"/>
    <col min="11016" max="11016" width="21.28515625" style="199" customWidth="1"/>
    <col min="11017" max="11264" width="11.42578125" style="199"/>
    <col min="11265" max="11265" width="3.7109375" style="199" customWidth="1"/>
    <col min="11266" max="11266" width="27.7109375" style="199" customWidth="1"/>
    <col min="11267" max="11267" width="15.85546875" style="199" customWidth="1"/>
    <col min="11268" max="11268" width="82" style="199" customWidth="1"/>
    <col min="11269" max="11269" width="13.7109375" style="199" customWidth="1"/>
    <col min="11270" max="11270" width="16.42578125" style="199" customWidth="1"/>
    <col min="11271" max="11271" width="22.28515625" style="199" customWidth="1"/>
    <col min="11272" max="11272" width="21.28515625" style="199" customWidth="1"/>
    <col min="11273" max="11520" width="11.42578125" style="199"/>
    <col min="11521" max="11521" width="3.7109375" style="199" customWidth="1"/>
    <col min="11522" max="11522" width="27.7109375" style="199" customWidth="1"/>
    <col min="11523" max="11523" width="15.85546875" style="199" customWidth="1"/>
    <col min="11524" max="11524" width="82" style="199" customWidth="1"/>
    <col min="11525" max="11525" width="13.7109375" style="199" customWidth="1"/>
    <col min="11526" max="11526" width="16.42578125" style="199" customWidth="1"/>
    <col min="11527" max="11527" width="22.28515625" style="199" customWidth="1"/>
    <col min="11528" max="11528" width="21.28515625" style="199" customWidth="1"/>
    <col min="11529" max="11776" width="11.42578125" style="199"/>
    <col min="11777" max="11777" width="3.7109375" style="199" customWidth="1"/>
    <col min="11778" max="11778" width="27.7109375" style="199" customWidth="1"/>
    <col min="11779" max="11779" width="15.85546875" style="199" customWidth="1"/>
    <col min="11780" max="11780" width="82" style="199" customWidth="1"/>
    <col min="11781" max="11781" width="13.7109375" style="199" customWidth="1"/>
    <col min="11782" max="11782" width="16.42578125" style="199" customWidth="1"/>
    <col min="11783" max="11783" width="22.28515625" style="199" customWidth="1"/>
    <col min="11784" max="11784" width="21.28515625" style="199" customWidth="1"/>
    <col min="11785" max="12032" width="11.42578125" style="199"/>
    <col min="12033" max="12033" width="3.7109375" style="199" customWidth="1"/>
    <col min="12034" max="12034" width="27.7109375" style="199" customWidth="1"/>
    <col min="12035" max="12035" width="15.85546875" style="199" customWidth="1"/>
    <col min="12036" max="12036" width="82" style="199" customWidth="1"/>
    <col min="12037" max="12037" width="13.7109375" style="199" customWidth="1"/>
    <col min="12038" max="12038" width="16.42578125" style="199" customWidth="1"/>
    <col min="12039" max="12039" width="22.28515625" style="199" customWidth="1"/>
    <col min="12040" max="12040" width="21.28515625" style="199" customWidth="1"/>
    <col min="12041" max="12288" width="11.42578125" style="199"/>
    <col min="12289" max="12289" width="3.7109375" style="199" customWidth="1"/>
    <col min="12290" max="12290" width="27.7109375" style="199" customWidth="1"/>
    <col min="12291" max="12291" width="15.85546875" style="199" customWidth="1"/>
    <col min="12292" max="12292" width="82" style="199" customWidth="1"/>
    <col min="12293" max="12293" width="13.7109375" style="199" customWidth="1"/>
    <col min="12294" max="12294" width="16.42578125" style="199" customWidth="1"/>
    <col min="12295" max="12295" width="22.28515625" style="199" customWidth="1"/>
    <col min="12296" max="12296" width="21.28515625" style="199" customWidth="1"/>
    <col min="12297" max="12544" width="11.42578125" style="199"/>
    <col min="12545" max="12545" width="3.7109375" style="199" customWidth="1"/>
    <col min="12546" max="12546" width="27.7109375" style="199" customWidth="1"/>
    <col min="12547" max="12547" width="15.85546875" style="199" customWidth="1"/>
    <col min="12548" max="12548" width="82" style="199" customWidth="1"/>
    <col min="12549" max="12549" width="13.7109375" style="199" customWidth="1"/>
    <col min="12550" max="12550" width="16.42578125" style="199" customWidth="1"/>
    <col min="12551" max="12551" width="22.28515625" style="199" customWidth="1"/>
    <col min="12552" max="12552" width="21.28515625" style="199" customWidth="1"/>
    <col min="12553" max="12800" width="11.42578125" style="199"/>
    <col min="12801" max="12801" width="3.7109375" style="199" customWidth="1"/>
    <col min="12802" max="12802" width="27.7109375" style="199" customWidth="1"/>
    <col min="12803" max="12803" width="15.85546875" style="199" customWidth="1"/>
    <col min="12804" max="12804" width="82" style="199" customWidth="1"/>
    <col min="12805" max="12805" width="13.7109375" style="199" customWidth="1"/>
    <col min="12806" max="12806" width="16.42578125" style="199" customWidth="1"/>
    <col min="12807" max="12807" width="22.28515625" style="199" customWidth="1"/>
    <col min="12808" max="12808" width="21.28515625" style="199" customWidth="1"/>
    <col min="12809" max="13056" width="11.42578125" style="199"/>
    <col min="13057" max="13057" width="3.7109375" style="199" customWidth="1"/>
    <col min="13058" max="13058" width="27.7109375" style="199" customWidth="1"/>
    <col min="13059" max="13059" width="15.85546875" style="199" customWidth="1"/>
    <col min="13060" max="13060" width="82" style="199" customWidth="1"/>
    <col min="13061" max="13061" width="13.7109375" style="199" customWidth="1"/>
    <col min="13062" max="13062" width="16.42578125" style="199" customWidth="1"/>
    <col min="13063" max="13063" width="22.28515625" style="199" customWidth="1"/>
    <col min="13064" max="13064" width="21.28515625" style="199" customWidth="1"/>
    <col min="13065" max="13312" width="11.42578125" style="199"/>
    <col min="13313" max="13313" width="3.7109375" style="199" customWidth="1"/>
    <col min="13314" max="13314" width="27.7109375" style="199" customWidth="1"/>
    <col min="13315" max="13315" width="15.85546875" style="199" customWidth="1"/>
    <col min="13316" max="13316" width="82" style="199" customWidth="1"/>
    <col min="13317" max="13317" width="13.7109375" style="199" customWidth="1"/>
    <col min="13318" max="13318" width="16.42578125" style="199" customWidth="1"/>
    <col min="13319" max="13319" width="22.28515625" style="199" customWidth="1"/>
    <col min="13320" max="13320" width="21.28515625" style="199" customWidth="1"/>
    <col min="13321" max="13568" width="11.42578125" style="199"/>
    <col min="13569" max="13569" width="3.7109375" style="199" customWidth="1"/>
    <col min="13570" max="13570" width="27.7109375" style="199" customWidth="1"/>
    <col min="13571" max="13571" width="15.85546875" style="199" customWidth="1"/>
    <col min="13572" max="13572" width="82" style="199" customWidth="1"/>
    <col min="13573" max="13573" width="13.7109375" style="199" customWidth="1"/>
    <col min="13574" max="13574" width="16.42578125" style="199" customWidth="1"/>
    <col min="13575" max="13575" width="22.28515625" style="199" customWidth="1"/>
    <col min="13576" max="13576" width="21.28515625" style="199" customWidth="1"/>
    <col min="13577" max="13824" width="11.42578125" style="199"/>
    <col min="13825" max="13825" width="3.7109375" style="199" customWidth="1"/>
    <col min="13826" max="13826" width="27.7109375" style="199" customWidth="1"/>
    <col min="13827" max="13827" width="15.85546875" style="199" customWidth="1"/>
    <col min="13828" max="13828" width="82" style="199" customWidth="1"/>
    <col min="13829" max="13829" width="13.7109375" style="199" customWidth="1"/>
    <col min="13830" max="13830" width="16.42578125" style="199" customWidth="1"/>
    <col min="13831" max="13831" width="22.28515625" style="199" customWidth="1"/>
    <col min="13832" max="13832" width="21.28515625" style="199" customWidth="1"/>
    <col min="13833" max="14080" width="11.42578125" style="199"/>
    <col min="14081" max="14081" width="3.7109375" style="199" customWidth="1"/>
    <col min="14082" max="14082" width="27.7109375" style="199" customWidth="1"/>
    <col min="14083" max="14083" width="15.85546875" style="199" customWidth="1"/>
    <col min="14084" max="14084" width="82" style="199" customWidth="1"/>
    <col min="14085" max="14085" width="13.7109375" style="199" customWidth="1"/>
    <col min="14086" max="14086" width="16.42578125" style="199" customWidth="1"/>
    <col min="14087" max="14087" width="22.28515625" style="199" customWidth="1"/>
    <col min="14088" max="14088" width="21.28515625" style="199" customWidth="1"/>
    <col min="14089" max="14336" width="11.42578125" style="199"/>
    <col min="14337" max="14337" width="3.7109375" style="199" customWidth="1"/>
    <col min="14338" max="14338" width="27.7109375" style="199" customWidth="1"/>
    <col min="14339" max="14339" width="15.85546875" style="199" customWidth="1"/>
    <col min="14340" max="14340" width="82" style="199" customWidth="1"/>
    <col min="14341" max="14341" width="13.7109375" style="199" customWidth="1"/>
    <col min="14342" max="14342" width="16.42578125" style="199" customWidth="1"/>
    <col min="14343" max="14343" width="22.28515625" style="199" customWidth="1"/>
    <col min="14344" max="14344" width="21.28515625" style="199" customWidth="1"/>
    <col min="14345" max="14592" width="11.42578125" style="199"/>
    <col min="14593" max="14593" width="3.7109375" style="199" customWidth="1"/>
    <col min="14594" max="14594" width="27.7109375" style="199" customWidth="1"/>
    <col min="14595" max="14595" width="15.85546875" style="199" customWidth="1"/>
    <col min="14596" max="14596" width="82" style="199" customWidth="1"/>
    <col min="14597" max="14597" width="13.7109375" style="199" customWidth="1"/>
    <col min="14598" max="14598" width="16.42578125" style="199" customWidth="1"/>
    <col min="14599" max="14599" width="22.28515625" style="199" customWidth="1"/>
    <col min="14600" max="14600" width="21.28515625" style="199" customWidth="1"/>
    <col min="14601" max="14848" width="11.42578125" style="199"/>
    <col min="14849" max="14849" width="3.7109375" style="199" customWidth="1"/>
    <col min="14850" max="14850" width="27.7109375" style="199" customWidth="1"/>
    <col min="14851" max="14851" width="15.85546875" style="199" customWidth="1"/>
    <col min="14852" max="14852" width="82" style="199" customWidth="1"/>
    <col min="14853" max="14853" width="13.7109375" style="199" customWidth="1"/>
    <col min="14854" max="14854" width="16.42578125" style="199" customWidth="1"/>
    <col min="14855" max="14855" width="22.28515625" style="199" customWidth="1"/>
    <col min="14856" max="14856" width="21.28515625" style="199" customWidth="1"/>
    <col min="14857" max="15104" width="11.42578125" style="199"/>
    <col min="15105" max="15105" width="3.7109375" style="199" customWidth="1"/>
    <col min="15106" max="15106" width="27.7109375" style="199" customWidth="1"/>
    <col min="15107" max="15107" width="15.85546875" style="199" customWidth="1"/>
    <col min="15108" max="15108" width="82" style="199" customWidth="1"/>
    <col min="15109" max="15109" width="13.7109375" style="199" customWidth="1"/>
    <col min="15110" max="15110" width="16.42578125" style="199" customWidth="1"/>
    <col min="15111" max="15111" width="22.28515625" style="199" customWidth="1"/>
    <col min="15112" max="15112" width="21.28515625" style="199" customWidth="1"/>
    <col min="15113" max="15360" width="11.42578125" style="199"/>
    <col min="15361" max="15361" width="3.7109375" style="199" customWidth="1"/>
    <col min="15362" max="15362" width="27.7109375" style="199" customWidth="1"/>
    <col min="15363" max="15363" width="15.85546875" style="199" customWidth="1"/>
    <col min="15364" max="15364" width="82" style="199" customWidth="1"/>
    <col min="15365" max="15365" width="13.7109375" style="199" customWidth="1"/>
    <col min="15366" max="15366" width="16.42578125" style="199" customWidth="1"/>
    <col min="15367" max="15367" width="22.28515625" style="199" customWidth="1"/>
    <col min="15368" max="15368" width="21.28515625" style="199" customWidth="1"/>
    <col min="15369" max="15616" width="11.42578125" style="199"/>
    <col min="15617" max="15617" width="3.7109375" style="199" customWidth="1"/>
    <col min="15618" max="15618" width="27.7109375" style="199" customWidth="1"/>
    <col min="15619" max="15619" width="15.85546875" style="199" customWidth="1"/>
    <col min="15620" max="15620" width="82" style="199" customWidth="1"/>
    <col min="15621" max="15621" width="13.7109375" style="199" customWidth="1"/>
    <col min="15622" max="15622" width="16.42578125" style="199" customWidth="1"/>
    <col min="15623" max="15623" width="22.28515625" style="199" customWidth="1"/>
    <col min="15624" max="15624" width="21.28515625" style="199" customWidth="1"/>
    <col min="15625" max="15872" width="11.42578125" style="199"/>
    <col min="15873" max="15873" width="3.7109375" style="199" customWidth="1"/>
    <col min="15874" max="15874" width="27.7109375" style="199" customWidth="1"/>
    <col min="15875" max="15875" width="15.85546875" style="199" customWidth="1"/>
    <col min="15876" max="15876" width="82" style="199" customWidth="1"/>
    <col min="15877" max="15877" width="13.7109375" style="199" customWidth="1"/>
    <col min="15878" max="15878" width="16.42578125" style="199" customWidth="1"/>
    <col min="15879" max="15879" width="22.28515625" style="199" customWidth="1"/>
    <col min="15880" max="15880" width="21.28515625" style="199" customWidth="1"/>
    <col min="15881" max="16128" width="11.42578125" style="199"/>
    <col min="16129" max="16129" width="3.7109375" style="199" customWidth="1"/>
    <col min="16130" max="16130" width="27.7109375" style="199" customWidth="1"/>
    <col min="16131" max="16131" width="15.85546875" style="199" customWidth="1"/>
    <col min="16132" max="16132" width="82" style="199" customWidth="1"/>
    <col min="16133" max="16133" width="13.7109375" style="199" customWidth="1"/>
    <col min="16134" max="16134" width="16.42578125" style="199" customWidth="1"/>
    <col min="16135" max="16135" width="22.28515625" style="199" customWidth="1"/>
    <col min="16136" max="16136" width="21.28515625" style="199" customWidth="1"/>
    <col min="16137" max="16384" width="11.42578125" style="199"/>
  </cols>
  <sheetData>
    <row r="1" spans="1:19" s="115" customFormat="1" ht="27.75" customHeight="1" x14ac:dyDescent="0.3">
      <c r="A1" s="275"/>
      <c r="B1" s="114"/>
      <c r="C1" s="276" t="s">
        <v>46</v>
      </c>
      <c r="D1" s="276"/>
      <c r="E1" s="277" t="s">
        <v>189</v>
      </c>
      <c r="F1" s="278"/>
      <c r="G1" s="278"/>
      <c r="H1" s="278"/>
      <c r="I1" s="279"/>
      <c r="J1" s="279"/>
      <c r="K1" s="279"/>
      <c r="L1" s="279"/>
      <c r="M1" s="279"/>
      <c r="N1" s="279"/>
      <c r="O1" s="279"/>
      <c r="P1" s="279"/>
      <c r="Q1" s="279"/>
      <c r="R1" s="279"/>
      <c r="S1" s="279"/>
    </row>
    <row r="2" spans="1:19" s="115" customFormat="1" ht="33" customHeight="1" thickBot="1" x14ac:dyDescent="0.3">
      <c r="A2" s="275"/>
      <c r="B2" s="116"/>
      <c r="C2" s="280" t="s">
        <v>47</v>
      </c>
      <c r="D2" s="280"/>
      <c r="E2" s="281"/>
      <c r="F2" s="282"/>
      <c r="G2" s="282"/>
      <c r="H2" s="117"/>
      <c r="I2" s="118"/>
      <c r="J2" s="118"/>
      <c r="K2" s="118"/>
      <c r="L2" s="118"/>
      <c r="M2" s="118"/>
      <c r="N2" s="118"/>
      <c r="O2" s="118"/>
      <c r="P2" s="118"/>
      <c r="Q2" s="118"/>
      <c r="R2" s="118"/>
      <c r="S2" s="118"/>
    </row>
    <row r="3" spans="1:19" ht="18.75" customHeight="1" x14ac:dyDescent="0.25">
      <c r="B3" s="148" t="s">
        <v>48</v>
      </c>
      <c r="C3" s="119" t="s">
        <v>49</v>
      </c>
      <c r="D3" s="150">
        <v>45162</v>
      </c>
      <c r="E3" s="151"/>
      <c r="F3" s="284"/>
      <c r="G3" s="284"/>
      <c r="H3" s="284"/>
    </row>
    <row r="4" spans="1:19" ht="18.75" customHeight="1" x14ac:dyDescent="0.25">
      <c r="B4" s="149"/>
      <c r="C4" s="120" t="s">
        <v>50</v>
      </c>
      <c r="D4" s="152">
        <f>+D3+100</f>
        <v>45262</v>
      </c>
      <c r="E4" s="153"/>
      <c r="F4" s="284"/>
      <c r="G4" s="284"/>
      <c r="H4" s="284"/>
    </row>
    <row r="5" spans="1:19" ht="18.75" customHeight="1" x14ac:dyDescent="0.25">
      <c r="B5" s="121" t="s">
        <v>51</v>
      </c>
      <c r="C5" s="285" t="s">
        <v>52</v>
      </c>
      <c r="D5" s="286"/>
      <c r="E5" s="287"/>
      <c r="F5" s="288"/>
      <c r="G5" s="288"/>
      <c r="H5" s="288"/>
    </row>
    <row r="6" spans="1:19" ht="18.75" customHeight="1" x14ac:dyDescent="0.25">
      <c r="B6" s="121" t="s">
        <v>53</v>
      </c>
      <c r="C6" s="285" t="s">
        <v>190</v>
      </c>
      <c r="D6" s="286"/>
      <c r="E6" s="287"/>
      <c r="F6" s="288"/>
      <c r="G6" s="288"/>
      <c r="H6" s="288"/>
    </row>
    <row r="7" spans="1:19" ht="18.75" customHeight="1" x14ac:dyDescent="0.25">
      <c r="B7" s="121" t="s">
        <v>54</v>
      </c>
      <c r="C7" s="285" t="s">
        <v>55</v>
      </c>
      <c r="D7" s="286"/>
      <c r="E7" s="287"/>
      <c r="F7" s="289"/>
      <c r="G7" s="289"/>
      <c r="H7" s="289"/>
    </row>
    <row r="8" spans="1:19" ht="18.75" customHeight="1" x14ac:dyDescent="0.25">
      <c r="B8" s="121" t="s">
        <v>56</v>
      </c>
      <c r="C8" s="285" t="s">
        <v>109</v>
      </c>
      <c r="D8" s="286"/>
      <c r="E8" s="287"/>
      <c r="F8" s="289"/>
      <c r="G8" s="289"/>
      <c r="H8" s="289"/>
    </row>
    <row r="9" spans="1:19" ht="18.75" customHeight="1" x14ac:dyDescent="0.25">
      <c r="B9" s="121" t="s">
        <v>58</v>
      </c>
      <c r="C9" s="285" t="s">
        <v>57</v>
      </c>
      <c r="D9" s="286"/>
      <c r="E9" s="287"/>
      <c r="F9" s="289"/>
      <c r="G9" s="289"/>
      <c r="H9" s="289"/>
    </row>
    <row r="10" spans="1:19" ht="18.75" customHeight="1" x14ac:dyDescent="0.25">
      <c r="B10" s="121" t="s">
        <v>59</v>
      </c>
      <c r="C10" s="285" t="s">
        <v>191</v>
      </c>
      <c r="D10" s="286"/>
      <c r="E10" s="287"/>
      <c r="F10" s="288"/>
      <c r="G10" s="288"/>
      <c r="H10" s="288"/>
    </row>
    <row r="11" spans="1:19" ht="18.75" customHeight="1" x14ac:dyDescent="0.25">
      <c r="B11" s="121" t="s">
        <v>60</v>
      </c>
      <c r="C11" s="290" t="s">
        <v>61</v>
      </c>
      <c r="D11" s="291"/>
      <c r="E11" s="292"/>
      <c r="F11" s="289"/>
      <c r="G11" s="289"/>
      <c r="H11" s="289"/>
    </row>
    <row r="12" spans="1:19" ht="18.75" customHeight="1" thickBot="1" x14ac:dyDescent="0.3">
      <c r="B12" s="122" t="s">
        <v>62</v>
      </c>
      <c r="C12" s="293">
        <v>100000</v>
      </c>
      <c r="D12" s="294"/>
      <c r="E12" s="295"/>
      <c r="F12" s="296"/>
      <c r="G12" s="296"/>
      <c r="H12" s="296"/>
    </row>
    <row r="13" spans="1:19" ht="18.75" customHeight="1" thickBot="1" x14ac:dyDescent="0.3">
      <c r="B13" s="297" t="s">
        <v>63</v>
      </c>
      <c r="C13" s="123" t="s">
        <v>64</v>
      </c>
      <c r="D13" s="298" t="s">
        <v>65</v>
      </c>
      <c r="E13" s="299" t="s">
        <v>66</v>
      </c>
      <c r="F13" s="296"/>
      <c r="G13" s="296"/>
      <c r="H13" s="296"/>
    </row>
    <row r="14" spans="1:19" ht="18.75" customHeight="1" x14ac:dyDescent="0.25">
      <c r="B14" s="297"/>
      <c r="C14" s="300" t="s">
        <v>192</v>
      </c>
      <c r="D14" s="301" t="s">
        <v>193</v>
      </c>
      <c r="E14" s="302">
        <v>70000</v>
      </c>
      <c r="F14" s="303"/>
      <c r="G14" s="303"/>
      <c r="H14" s="303"/>
    </row>
    <row r="15" spans="1:19" ht="18.75" customHeight="1" x14ac:dyDescent="0.25">
      <c r="B15" s="297"/>
      <c r="C15" s="300"/>
      <c r="D15" s="301" t="s">
        <v>194</v>
      </c>
      <c r="E15" s="302">
        <v>20000</v>
      </c>
      <c r="F15" s="303"/>
      <c r="G15" s="303"/>
      <c r="H15" s="303"/>
    </row>
    <row r="16" spans="1:19" ht="18.75" customHeight="1" x14ac:dyDescent="0.25">
      <c r="B16" s="297"/>
      <c r="C16" s="300"/>
      <c r="D16" s="301"/>
      <c r="E16" s="304"/>
      <c r="F16" s="303"/>
      <c r="G16" s="303"/>
      <c r="H16" s="303"/>
    </row>
    <row r="17" spans="1:8" ht="18.75" customHeight="1" x14ac:dyDescent="0.25">
      <c r="B17" s="121" t="s">
        <v>67</v>
      </c>
      <c r="C17" s="305">
        <f>SUM(E14:E16)</f>
        <v>90000</v>
      </c>
      <c r="D17" s="286"/>
      <c r="E17" s="287"/>
      <c r="F17" s="296"/>
      <c r="G17" s="296"/>
      <c r="H17" s="296"/>
    </row>
    <row r="18" spans="1:8" ht="18.75" customHeight="1" x14ac:dyDescent="0.25">
      <c r="B18" s="121" t="s">
        <v>68</v>
      </c>
      <c r="C18" s="306">
        <f>+C17/C12</f>
        <v>0.9</v>
      </c>
      <c r="D18" s="307"/>
      <c r="E18" s="308"/>
      <c r="F18" s="309"/>
      <c r="G18" s="309"/>
      <c r="H18" s="309"/>
    </row>
    <row r="19" spans="1:8" ht="18.75" customHeight="1" x14ac:dyDescent="0.25">
      <c r="B19" s="121" t="s">
        <v>69</v>
      </c>
      <c r="C19" s="285">
        <v>1</v>
      </c>
      <c r="D19" s="286"/>
      <c r="E19" s="287"/>
      <c r="F19" s="288"/>
      <c r="G19" s="288"/>
      <c r="H19" s="288"/>
    </row>
    <row r="20" spans="1:8" ht="18.75" customHeight="1" x14ac:dyDescent="0.25">
      <c r="B20" s="149" t="s">
        <v>70</v>
      </c>
      <c r="C20" s="124" t="s">
        <v>71</v>
      </c>
      <c r="D20" s="310"/>
      <c r="E20" s="311"/>
      <c r="F20" s="288"/>
      <c r="G20" s="288"/>
      <c r="H20" s="288"/>
    </row>
    <row r="21" spans="1:8" ht="18.75" customHeight="1" x14ac:dyDescent="0.25">
      <c r="B21" s="149"/>
      <c r="C21" s="124" t="s">
        <v>72</v>
      </c>
      <c r="D21" s="312" t="s">
        <v>73</v>
      </c>
      <c r="E21" s="311"/>
      <c r="F21" s="288"/>
      <c r="G21" s="288"/>
      <c r="H21" s="288"/>
    </row>
    <row r="22" spans="1:8" ht="18.75" customHeight="1" x14ac:dyDescent="0.25">
      <c r="B22" s="149"/>
      <c r="C22" s="124" t="s">
        <v>74</v>
      </c>
      <c r="D22" s="310"/>
      <c r="E22" s="311"/>
      <c r="F22" s="288"/>
      <c r="G22" s="288"/>
      <c r="H22" s="288"/>
    </row>
    <row r="23" spans="1:8" ht="18.75" customHeight="1" x14ac:dyDescent="0.25">
      <c r="B23" s="121" t="s">
        <v>75</v>
      </c>
      <c r="C23" s="313" t="s">
        <v>76</v>
      </c>
      <c r="D23" s="314"/>
      <c r="E23" s="315"/>
      <c r="F23" s="288"/>
      <c r="G23" s="288"/>
      <c r="H23" s="288"/>
    </row>
    <row r="24" spans="1:8" ht="18.75" customHeight="1" x14ac:dyDescent="0.25">
      <c r="B24" s="121" t="s">
        <v>77</v>
      </c>
      <c r="C24" s="313" t="s">
        <v>78</v>
      </c>
      <c r="D24" s="314"/>
      <c r="E24" s="315"/>
      <c r="F24" s="288"/>
      <c r="G24" s="288"/>
      <c r="H24" s="288"/>
    </row>
    <row r="25" spans="1:8" ht="18.75" customHeight="1" thickBot="1" x14ac:dyDescent="0.3">
      <c r="B25" s="125" t="s">
        <v>79</v>
      </c>
      <c r="C25" s="316">
        <v>4</v>
      </c>
      <c r="D25" s="317"/>
      <c r="E25" s="311" t="s">
        <v>80</v>
      </c>
      <c r="F25" s="288"/>
      <c r="G25" s="288"/>
      <c r="H25" s="288"/>
    </row>
    <row r="26" spans="1:8" ht="33" x14ac:dyDescent="0.25">
      <c r="A26" s="283" t="s">
        <v>195</v>
      </c>
      <c r="B26" s="318" t="s">
        <v>81</v>
      </c>
      <c r="C26" s="319" t="s">
        <v>82</v>
      </c>
      <c r="D26" s="320"/>
      <c r="E26" s="321"/>
      <c r="F26" s="288"/>
      <c r="G26" s="288"/>
      <c r="H26" s="288"/>
    </row>
    <row r="27" spans="1:8" ht="15.75" x14ac:dyDescent="0.25">
      <c r="B27" s="322" t="s">
        <v>83</v>
      </c>
      <c r="C27" s="323" t="s">
        <v>84</v>
      </c>
      <c r="D27" s="314"/>
      <c r="E27" s="315"/>
      <c r="F27" s="324"/>
      <c r="G27" s="324"/>
      <c r="H27" s="324"/>
    </row>
    <row r="28" spans="1:8" ht="22.5" customHeight="1" x14ac:dyDescent="0.25">
      <c r="A28" s="283" t="s">
        <v>195</v>
      </c>
      <c r="B28" s="322" t="s">
        <v>85</v>
      </c>
      <c r="C28" s="325" t="s">
        <v>86</v>
      </c>
      <c r="D28" s="326"/>
      <c r="E28" s="327"/>
      <c r="F28" s="324"/>
      <c r="G28" s="324"/>
      <c r="H28" s="324"/>
    </row>
    <row r="29" spans="1:8" ht="48.75" x14ac:dyDescent="0.25">
      <c r="A29" s="283" t="s">
        <v>196</v>
      </c>
      <c r="B29" s="322" t="s">
        <v>87</v>
      </c>
      <c r="C29" s="323" t="s">
        <v>88</v>
      </c>
      <c r="D29" s="314"/>
      <c r="E29" s="315"/>
      <c r="F29" s="328"/>
      <c r="G29" s="328"/>
      <c r="H29" s="328"/>
    </row>
    <row r="30" spans="1:8" ht="15.75" x14ac:dyDescent="0.25">
      <c r="B30" s="329" t="s">
        <v>89</v>
      </c>
      <c r="C30" s="330" t="s">
        <v>90</v>
      </c>
      <c r="D30" s="331"/>
      <c r="E30" s="332"/>
      <c r="F30" s="333"/>
      <c r="G30" s="333"/>
      <c r="H30" s="333"/>
    </row>
    <row r="31" spans="1:8" ht="16.5" thickBot="1" x14ac:dyDescent="0.3">
      <c r="B31" s="334"/>
      <c r="C31" s="330" t="s">
        <v>91</v>
      </c>
      <c r="D31" s="335" t="s">
        <v>73</v>
      </c>
      <c r="E31" s="332"/>
      <c r="F31" s="333"/>
      <c r="G31" s="333"/>
      <c r="H31" s="333"/>
    </row>
    <row r="32" spans="1:8" ht="18.75" customHeight="1" x14ac:dyDescent="0.25">
      <c r="B32" s="336" t="s">
        <v>92</v>
      </c>
      <c r="C32" s="337" t="s">
        <v>197</v>
      </c>
      <c r="D32" s="338"/>
      <c r="E32" s="339" t="s">
        <v>93</v>
      </c>
      <c r="F32" s="340"/>
      <c r="G32" s="340"/>
      <c r="H32" s="340"/>
    </row>
    <row r="33" spans="1:8" ht="96" x14ac:dyDescent="0.25">
      <c r="A33" s="283" t="s">
        <v>198</v>
      </c>
      <c r="B33" s="341" t="s">
        <v>94</v>
      </c>
      <c r="C33" s="342" t="s">
        <v>199</v>
      </c>
      <c r="D33" s="343"/>
      <c r="E33" s="339"/>
      <c r="F33" s="344"/>
      <c r="G33" s="344"/>
      <c r="H33" s="344"/>
    </row>
    <row r="34" spans="1:8" ht="15.75" x14ac:dyDescent="0.25">
      <c r="B34" s="345" t="s">
        <v>92</v>
      </c>
      <c r="C34" s="346" t="s">
        <v>200</v>
      </c>
      <c r="D34" s="347"/>
      <c r="E34" s="348" t="s">
        <v>95</v>
      </c>
      <c r="F34" s="340"/>
      <c r="G34" s="340"/>
      <c r="H34" s="340"/>
    </row>
    <row r="35" spans="1:8" ht="96.75" thickBot="1" x14ac:dyDescent="0.3">
      <c r="A35" s="283" t="s">
        <v>198</v>
      </c>
      <c r="B35" s="349" t="s">
        <v>96</v>
      </c>
      <c r="C35" s="350" t="s">
        <v>201</v>
      </c>
      <c r="D35" s="351"/>
      <c r="E35" s="352"/>
      <c r="F35" s="344"/>
      <c r="G35" s="344"/>
      <c r="H35" s="344"/>
    </row>
  </sheetData>
  <mergeCells count="33">
    <mergeCell ref="C34:D34"/>
    <mergeCell ref="E34:E35"/>
    <mergeCell ref="C35:D35"/>
    <mergeCell ref="C28:E28"/>
    <mergeCell ref="C29:E29"/>
    <mergeCell ref="B30:B31"/>
    <mergeCell ref="C32:D32"/>
    <mergeCell ref="E32:E33"/>
    <mergeCell ref="C33:D33"/>
    <mergeCell ref="B20:B22"/>
    <mergeCell ref="C23:E23"/>
    <mergeCell ref="C24:E24"/>
    <mergeCell ref="C25:D25"/>
    <mergeCell ref="C26:E26"/>
    <mergeCell ref="C27:E27"/>
    <mergeCell ref="C11:E11"/>
    <mergeCell ref="C12:E12"/>
    <mergeCell ref="B13:B16"/>
    <mergeCell ref="C17:E17"/>
    <mergeCell ref="C18:E18"/>
    <mergeCell ref="C19:E19"/>
    <mergeCell ref="C5:E5"/>
    <mergeCell ref="C6:E6"/>
    <mergeCell ref="C7:E7"/>
    <mergeCell ref="C8:E8"/>
    <mergeCell ref="C9:E9"/>
    <mergeCell ref="C10:E10"/>
    <mergeCell ref="C1:D1"/>
    <mergeCell ref="E1:E2"/>
    <mergeCell ref="C2:D2"/>
    <mergeCell ref="B3:B4"/>
    <mergeCell ref="D3:E3"/>
    <mergeCell ref="D4:E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611B4-A628-481A-ACDD-8647E321C3BC}">
  <dimension ref="I1:J1"/>
  <sheetViews>
    <sheetView zoomScale="85" zoomScaleNormal="85" workbookViewId="0">
      <selection activeCell="H17" sqref="H17"/>
    </sheetView>
  </sheetViews>
  <sheetFormatPr baseColWidth="10" defaultRowHeight="12.75" x14ac:dyDescent="0.2"/>
  <cols>
    <col min="9" max="10" width="11.42578125" style="3"/>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
  <sheetViews>
    <sheetView view="pageBreakPreview" topLeftCell="A4" zoomScale="85" zoomScaleNormal="85" zoomScaleSheetLayoutView="85" workbookViewId="0">
      <selection activeCell="D13" sqref="D13"/>
    </sheetView>
  </sheetViews>
  <sheetFormatPr baseColWidth="10" defaultRowHeight="12.75" x14ac:dyDescent="0.2"/>
  <cols>
    <col min="1" max="1" width="15" style="42" customWidth="1"/>
    <col min="2" max="2" width="16.7109375" style="42" bestFit="1" customWidth="1"/>
    <col min="3" max="3" width="19.85546875" style="42" customWidth="1"/>
    <col min="4" max="4" width="16.85546875" style="42" customWidth="1"/>
    <col min="5" max="5" width="18.140625" style="42" customWidth="1"/>
    <col min="6" max="6" width="13.7109375" style="42" customWidth="1"/>
    <col min="7" max="7" width="15.5703125" style="42" customWidth="1"/>
    <col min="8" max="8" width="19.28515625" style="42" customWidth="1"/>
    <col min="9" max="9" width="16.85546875" style="42" customWidth="1"/>
    <col min="10" max="10" width="14.5703125" style="42" customWidth="1"/>
    <col min="11" max="16384" width="11.42578125" style="42"/>
  </cols>
  <sheetData>
    <row r="1" spans="1:10" ht="23.25" customHeight="1" x14ac:dyDescent="0.3">
      <c r="A1" s="84"/>
      <c r="B1" s="85"/>
      <c r="C1" s="159" t="s">
        <v>0</v>
      </c>
      <c r="D1" s="159"/>
      <c r="E1" s="159"/>
      <c r="F1" s="159"/>
      <c r="G1" s="159"/>
      <c r="H1" s="160"/>
      <c r="I1" s="56"/>
    </row>
    <row r="2" spans="1:10" ht="20.25" x14ac:dyDescent="0.3">
      <c r="A2" s="86"/>
      <c r="B2" s="55"/>
      <c r="C2" s="188" t="s">
        <v>108</v>
      </c>
      <c r="D2" s="188"/>
      <c r="E2" s="188"/>
      <c r="F2" s="188"/>
      <c r="G2" s="188"/>
      <c r="H2" s="189"/>
      <c r="I2" s="56"/>
    </row>
    <row r="3" spans="1:10" ht="20.25" x14ac:dyDescent="0.3">
      <c r="A3" s="86"/>
      <c r="B3" s="55"/>
      <c r="C3" s="161" t="s">
        <v>107</v>
      </c>
      <c r="D3" s="161"/>
      <c r="E3" s="161"/>
      <c r="F3" s="161"/>
      <c r="G3" s="161"/>
      <c r="H3" s="162"/>
      <c r="I3" s="56"/>
    </row>
    <row r="4" spans="1:10" ht="20.25" x14ac:dyDescent="0.3">
      <c r="A4" s="163"/>
      <c r="B4" s="161"/>
      <c r="C4" s="161" t="s">
        <v>1</v>
      </c>
      <c r="D4" s="161"/>
      <c r="E4" s="161"/>
      <c r="F4" s="161"/>
      <c r="G4" s="161"/>
      <c r="H4" s="162"/>
      <c r="I4" s="56"/>
    </row>
    <row r="5" spans="1:10" ht="20.25" x14ac:dyDescent="0.3">
      <c r="A5" s="57"/>
      <c r="B5" s="58"/>
      <c r="C5" s="55"/>
      <c r="D5" s="55"/>
      <c r="E5" s="55"/>
      <c r="F5" s="55"/>
      <c r="G5" s="55"/>
      <c r="H5" s="59"/>
      <c r="I5" s="56"/>
    </row>
    <row r="6" spans="1:10" s="64" customFormat="1" ht="16.5" thickBot="1" x14ac:dyDescent="0.3">
      <c r="A6" s="43" t="s">
        <v>2</v>
      </c>
      <c r="B6" s="80"/>
      <c r="C6" s="44" t="s">
        <v>44</v>
      </c>
      <c r="D6" s="106"/>
      <c r="E6" s="106"/>
      <c r="F6" s="45" t="s">
        <v>3</v>
      </c>
      <c r="G6" s="81">
        <v>45163</v>
      </c>
      <c r="H6" s="90"/>
    </row>
    <row r="7" spans="1:10" s="64" customFormat="1" ht="16.5" thickBot="1" x14ac:dyDescent="0.3">
      <c r="A7" s="43" t="s">
        <v>4</v>
      </c>
      <c r="B7" s="82"/>
      <c r="C7" s="83" t="s">
        <v>110</v>
      </c>
      <c r="D7" s="106"/>
      <c r="E7" s="106"/>
      <c r="F7" s="45" t="s">
        <v>3</v>
      </c>
      <c r="G7" s="81">
        <f>3+G6</f>
        <v>45166</v>
      </c>
      <c r="H7" s="90"/>
    </row>
    <row r="8" spans="1:10" ht="23.25" customHeight="1" thickBot="1" x14ac:dyDescent="0.35">
      <c r="A8" s="62"/>
      <c r="B8" s="60"/>
      <c r="C8" s="60"/>
      <c r="D8" s="60"/>
      <c r="E8" s="60"/>
      <c r="F8" s="60"/>
      <c r="G8" s="60"/>
      <c r="H8" s="61"/>
      <c r="I8" s="56"/>
    </row>
    <row r="9" spans="1:10" ht="13.5" customHeight="1" thickBot="1" x14ac:dyDescent="0.25">
      <c r="A9" s="46"/>
      <c r="B9" s="41"/>
      <c r="C9" s="41"/>
      <c r="D9" s="41"/>
      <c r="E9" s="41"/>
    </row>
    <row r="10" spans="1:10" s="63" customFormat="1" ht="36" customHeight="1" thickBot="1" x14ac:dyDescent="0.25">
      <c r="A10" s="156" t="s">
        <v>5</v>
      </c>
      <c r="B10" s="154" t="s">
        <v>98</v>
      </c>
      <c r="C10" s="155"/>
      <c r="D10" s="154" t="s">
        <v>100</v>
      </c>
      <c r="E10" s="155"/>
      <c r="F10" s="154" t="s">
        <v>102</v>
      </c>
      <c r="G10" s="155"/>
      <c r="H10" s="156" t="s">
        <v>6</v>
      </c>
    </row>
    <row r="11" spans="1:10" s="64" customFormat="1" ht="16.5" thickBot="1" x14ac:dyDescent="0.3">
      <c r="A11" s="157"/>
      <c r="B11" s="154" t="s">
        <v>97</v>
      </c>
      <c r="C11" s="155"/>
      <c r="D11" s="154" t="s">
        <v>99</v>
      </c>
      <c r="E11" s="155"/>
      <c r="F11" s="165" t="s">
        <v>101</v>
      </c>
      <c r="G11" s="166"/>
      <c r="H11" s="164"/>
    </row>
    <row r="12" spans="1:10" s="70" customFormat="1" ht="16.5" thickBot="1" x14ac:dyDescent="0.3">
      <c r="A12" s="158"/>
      <c r="B12" s="65" t="s">
        <v>7</v>
      </c>
      <c r="C12" s="66" t="s">
        <v>8</v>
      </c>
      <c r="D12" s="65" t="s">
        <v>43</v>
      </c>
      <c r="E12" s="65" t="s">
        <v>8</v>
      </c>
      <c r="F12" s="67" t="s">
        <v>9</v>
      </c>
      <c r="G12" s="68" t="s">
        <v>8</v>
      </c>
      <c r="H12" s="69"/>
      <c r="I12" s="70" t="s">
        <v>104</v>
      </c>
      <c r="J12" s="70" t="s">
        <v>103</v>
      </c>
    </row>
    <row r="13" spans="1:10" s="64" customFormat="1" ht="16.5" thickBot="1" x14ac:dyDescent="0.3">
      <c r="A13" s="71" t="s">
        <v>10</v>
      </c>
      <c r="B13" s="91"/>
      <c r="C13" s="92"/>
      <c r="D13" s="94"/>
      <c r="E13" s="94"/>
      <c r="F13" s="93">
        <v>0</v>
      </c>
      <c r="G13" s="93"/>
      <c r="H13" s="72">
        <f>+G13+E13+C13-B13-D13-F13</f>
        <v>0</v>
      </c>
      <c r="I13" s="107">
        <f>+C13-B13</f>
        <v>0</v>
      </c>
      <c r="J13" s="107">
        <f>+E13-D13</f>
        <v>0</v>
      </c>
    </row>
    <row r="14" spans="1:10" s="64" customFormat="1" ht="16.5" thickBot="1" x14ac:dyDescent="0.3">
      <c r="A14" s="73" t="s">
        <v>11</v>
      </c>
      <c r="B14" s="95"/>
      <c r="C14" s="96"/>
      <c r="D14" s="97"/>
      <c r="E14" s="97"/>
      <c r="F14" s="97"/>
      <c r="G14" s="97"/>
      <c r="H14" s="72">
        <f t="shared" ref="H14:H24" si="0">+G14+E14+C14-B14-D14-F14</f>
        <v>0</v>
      </c>
      <c r="I14" s="107">
        <f t="shared" ref="I14:I24" si="1">+C14-B14</f>
        <v>0</v>
      </c>
      <c r="J14" s="107">
        <f t="shared" ref="J14:J24" si="2">+E14-D14</f>
        <v>0</v>
      </c>
    </row>
    <row r="15" spans="1:10" s="64" customFormat="1" ht="16.5" thickBot="1" x14ac:dyDescent="0.3">
      <c r="A15" s="73" t="s">
        <v>12</v>
      </c>
      <c r="B15" s="95"/>
      <c r="C15" s="96"/>
      <c r="D15" s="97"/>
      <c r="E15" s="97"/>
      <c r="F15" s="97"/>
      <c r="G15" s="97"/>
      <c r="H15" s="72">
        <f t="shared" si="0"/>
        <v>0</v>
      </c>
      <c r="I15" s="107">
        <f t="shared" si="1"/>
        <v>0</v>
      </c>
      <c r="J15" s="107">
        <f t="shared" si="2"/>
        <v>0</v>
      </c>
    </row>
    <row r="16" spans="1:10" s="64" customFormat="1" ht="16.5" thickBot="1" x14ac:dyDescent="0.3">
      <c r="A16" s="73" t="s">
        <v>13</v>
      </c>
      <c r="B16" s="95"/>
      <c r="C16" s="95"/>
      <c r="D16" s="97"/>
      <c r="E16" s="97"/>
      <c r="F16" s="97"/>
      <c r="G16" s="97"/>
      <c r="H16" s="72">
        <f t="shared" si="0"/>
        <v>0</v>
      </c>
      <c r="I16" s="107">
        <f t="shared" si="1"/>
        <v>0</v>
      </c>
      <c r="J16" s="107">
        <f t="shared" si="2"/>
        <v>0</v>
      </c>
    </row>
    <row r="17" spans="1:10" s="64" customFormat="1" ht="16.5" thickBot="1" x14ac:dyDescent="0.3">
      <c r="A17" s="73" t="s">
        <v>14</v>
      </c>
      <c r="B17" s="95"/>
      <c r="C17" s="98"/>
      <c r="D17" s="97"/>
      <c r="E17" s="97"/>
      <c r="F17" s="97"/>
      <c r="G17" s="97"/>
      <c r="H17" s="72">
        <f t="shared" si="0"/>
        <v>0</v>
      </c>
      <c r="I17" s="107">
        <f t="shared" si="1"/>
        <v>0</v>
      </c>
      <c r="J17" s="107">
        <f t="shared" si="2"/>
        <v>0</v>
      </c>
    </row>
    <row r="18" spans="1:10" s="64" customFormat="1" ht="16.5" thickBot="1" x14ac:dyDescent="0.3">
      <c r="A18" s="73" t="s">
        <v>15</v>
      </c>
      <c r="B18" s="95"/>
      <c r="C18" s="95"/>
      <c r="D18" s="97"/>
      <c r="E18" s="97"/>
      <c r="F18" s="97"/>
      <c r="G18" s="97"/>
      <c r="H18" s="72">
        <f t="shared" si="0"/>
        <v>0</v>
      </c>
      <c r="I18" s="107">
        <f t="shared" si="1"/>
        <v>0</v>
      </c>
      <c r="J18" s="107">
        <f t="shared" si="2"/>
        <v>0</v>
      </c>
    </row>
    <row r="19" spans="1:10" s="64" customFormat="1" ht="16.5" thickBot="1" x14ac:dyDescent="0.3">
      <c r="A19" s="73" t="s">
        <v>16</v>
      </c>
      <c r="B19" s="95"/>
      <c r="C19" s="95"/>
      <c r="D19" s="97"/>
      <c r="E19" s="97"/>
      <c r="F19" s="97"/>
      <c r="G19" s="99"/>
      <c r="H19" s="72">
        <f t="shared" si="0"/>
        <v>0</v>
      </c>
      <c r="I19" s="107">
        <f t="shared" si="1"/>
        <v>0</v>
      </c>
      <c r="J19" s="107">
        <f t="shared" si="2"/>
        <v>0</v>
      </c>
    </row>
    <row r="20" spans="1:10" s="64" customFormat="1" ht="16.5" thickBot="1" x14ac:dyDescent="0.3">
      <c r="A20" s="73" t="s">
        <v>17</v>
      </c>
      <c r="B20" s="95"/>
      <c r="C20" s="95"/>
      <c r="D20" s="97"/>
      <c r="E20" s="97"/>
      <c r="F20" s="97"/>
      <c r="G20" s="97"/>
      <c r="H20" s="72">
        <f t="shared" si="0"/>
        <v>0</v>
      </c>
      <c r="I20" s="107">
        <f t="shared" si="1"/>
        <v>0</v>
      </c>
      <c r="J20" s="107">
        <f t="shared" si="2"/>
        <v>0</v>
      </c>
    </row>
    <row r="21" spans="1:10" s="64" customFormat="1" ht="16.5" thickBot="1" x14ac:dyDescent="0.3">
      <c r="A21" s="73" t="s">
        <v>18</v>
      </c>
      <c r="B21" s="95"/>
      <c r="C21" s="98"/>
      <c r="D21" s="97"/>
      <c r="E21" s="97"/>
      <c r="F21" s="97"/>
      <c r="G21" s="97"/>
      <c r="H21" s="72">
        <f t="shared" si="0"/>
        <v>0</v>
      </c>
      <c r="I21" s="107">
        <f t="shared" si="1"/>
        <v>0</v>
      </c>
      <c r="J21" s="107">
        <f t="shared" si="2"/>
        <v>0</v>
      </c>
    </row>
    <row r="22" spans="1:10" s="64" customFormat="1" ht="16.5" thickBot="1" x14ac:dyDescent="0.3">
      <c r="A22" s="73" t="s">
        <v>19</v>
      </c>
      <c r="B22" s="95"/>
      <c r="C22" s="95"/>
      <c r="D22" s="97"/>
      <c r="E22" s="97"/>
      <c r="F22" s="97"/>
      <c r="G22" s="97"/>
      <c r="H22" s="72">
        <f t="shared" si="0"/>
        <v>0</v>
      </c>
      <c r="I22" s="107">
        <f t="shared" si="1"/>
        <v>0</v>
      </c>
      <c r="J22" s="107">
        <f t="shared" si="2"/>
        <v>0</v>
      </c>
    </row>
    <row r="23" spans="1:10" s="64" customFormat="1" ht="16.5" thickBot="1" x14ac:dyDescent="0.3">
      <c r="A23" s="73" t="s">
        <v>20</v>
      </c>
      <c r="B23" s="95"/>
      <c r="C23" s="95"/>
      <c r="D23" s="97"/>
      <c r="E23" s="97"/>
      <c r="F23" s="97"/>
      <c r="G23" s="97"/>
      <c r="H23" s="72">
        <f t="shared" si="0"/>
        <v>0</v>
      </c>
      <c r="I23" s="107">
        <f t="shared" si="1"/>
        <v>0</v>
      </c>
      <c r="J23" s="107">
        <f t="shared" si="2"/>
        <v>0</v>
      </c>
    </row>
    <row r="24" spans="1:10" s="64" customFormat="1" ht="16.5" thickBot="1" x14ac:dyDescent="0.3">
      <c r="A24" s="74" t="s">
        <v>21</v>
      </c>
      <c r="B24" s="100"/>
      <c r="C24" s="100"/>
      <c r="D24" s="97"/>
      <c r="E24" s="97"/>
      <c r="F24" s="97"/>
      <c r="G24" s="101"/>
      <c r="H24" s="72">
        <f t="shared" si="0"/>
        <v>0</v>
      </c>
      <c r="I24" s="107">
        <f t="shared" si="1"/>
        <v>0</v>
      </c>
      <c r="J24" s="107">
        <f t="shared" si="2"/>
        <v>0</v>
      </c>
    </row>
    <row r="25" spans="1:10" s="77" customFormat="1" ht="19.5" customHeight="1" thickBot="1" x14ac:dyDescent="0.25">
      <c r="A25" s="75"/>
      <c r="B25" s="102">
        <f t="shared" ref="B25:G25" si="3">SUM(B13:B24)</f>
        <v>0</v>
      </c>
      <c r="C25" s="102">
        <f>SUM(C13:C24)</f>
        <v>0</v>
      </c>
      <c r="D25" s="102">
        <f>SUM(D13:D24)</f>
        <v>0</v>
      </c>
      <c r="E25" s="102">
        <f>SUM(E13:E24)</f>
        <v>0</v>
      </c>
      <c r="F25" s="102">
        <f t="shared" si="3"/>
        <v>0</v>
      </c>
      <c r="G25" s="102">
        <f t="shared" si="3"/>
        <v>0</v>
      </c>
      <c r="H25" s="76">
        <f>SUM(H13:H24)</f>
        <v>0</v>
      </c>
    </row>
    <row r="26" spans="1:10" s="79" customFormat="1" ht="15.75" customHeight="1" x14ac:dyDescent="0.25">
      <c r="A26" s="78"/>
      <c r="C26" s="79">
        <f>+C25-B25</f>
        <v>0</v>
      </c>
      <c r="E26" s="79">
        <f>+E25-D25</f>
        <v>0</v>
      </c>
      <c r="G26" s="79">
        <f>+G25-F25</f>
        <v>0</v>
      </c>
    </row>
    <row r="27" spans="1:10" s="79" customFormat="1" ht="15.75" x14ac:dyDescent="0.25">
      <c r="A27" s="79" t="s">
        <v>38</v>
      </c>
      <c r="E27" s="135"/>
      <c r="H27" s="135"/>
    </row>
    <row r="28" spans="1:10" s="79" customFormat="1" ht="16.5" thickBot="1" x14ac:dyDescent="0.3">
      <c r="A28" s="79" t="s">
        <v>22</v>
      </c>
      <c r="C28" s="136">
        <f>+C26-C27</f>
        <v>0</v>
      </c>
      <c r="D28" s="137"/>
      <c r="E28" s="136">
        <f>+E26-E27</f>
        <v>0</v>
      </c>
      <c r="G28" s="136">
        <f>+G26-G27</f>
        <v>0</v>
      </c>
      <c r="H28" s="136">
        <f>+H25-H27</f>
        <v>0</v>
      </c>
    </row>
    <row r="29" spans="1:10" ht="13.5" thickTop="1" x14ac:dyDescent="0.2">
      <c r="A29" s="50"/>
      <c r="C29" s="47"/>
      <c r="D29" s="47"/>
      <c r="E29" s="47"/>
    </row>
    <row r="30" spans="1:10" x14ac:dyDescent="0.2">
      <c r="A30" s="50"/>
      <c r="B30" s="134"/>
      <c r="C30" s="51"/>
      <c r="D30" s="51"/>
      <c r="E30" s="51"/>
      <c r="G30" s="134"/>
    </row>
    <row r="31" spans="1:10" x14ac:dyDescent="0.2">
      <c r="A31" s="50"/>
      <c r="C31" s="48"/>
      <c r="D31" s="48"/>
      <c r="E31" s="48"/>
    </row>
    <row r="32" spans="1:10" x14ac:dyDescent="0.2">
      <c r="C32" s="49"/>
      <c r="D32" s="49"/>
      <c r="E32" s="49"/>
    </row>
    <row r="33" spans="1:5" x14ac:dyDescent="0.2">
      <c r="A33" s="52"/>
      <c r="B33" s="53"/>
      <c r="C33" s="54"/>
      <c r="D33" s="54"/>
      <c r="E33" s="54"/>
    </row>
    <row r="41" spans="1:5" x14ac:dyDescent="0.2">
      <c r="B41" s="47"/>
      <c r="C41" s="47"/>
      <c r="D41" s="47"/>
      <c r="E41" s="47"/>
    </row>
    <row r="42" spans="1:5" x14ac:dyDescent="0.2">
      <c r="B42" s="47"/>
      <c r="C42" s="47"/>
      <c r="D42" s="47"/>
      <c r="E42" s="47"/>
    </row>
    <row r="43" spans="1:5" x14ac:dyDescent="0.2">
      <c r="B43" s="47"/>
      <c r="C43" s="47"/>
      <c r="D43" s="47"/>
      <c r="E43" s="47"/>
    </row>
    <row r="44" spans="1:5" x14ac:dyDescent="0.2">
      <c r="B44" s="47"/>
      <c r="C44" s="47"/>
      <c r="D44" s="47"/>
      <c r="E44" s="47"/>
    </row>
    <row r="45" spans="1:5" x14ac:dyDescent="0.2">
      <c r="B45" s="47"/>
      <c r="C45" s="47"/>
      <c r="D45" s="47"/>
      <c r="E45" s="47"/>
    </row>
    <row r="46" spans="1:5" x14ac:dyDescent="0.2">
      <c r="B46" s="47"/>
      <c r="C46" s="47"/>
      <c r="D46" s="47"/>
      <c r="E46" s="47"/>
    </row>
    <row r="47" spans="1:5" x14ac:dyDescent="0.2">
      <c r="B47" s="47"/>
      <c r="C47" s="47"/>
      <c r="D47" s="47"/>
      <c r="E47" s="47"/>
    </row>
    <row r="48" spans="1:5" x14ac:dyDescent="0.2">
      <c r="B48" s="47"/>
      <c r="C48" s="47"/>
      <c r="D48" s="47"/>
      <c r="E48" s="47"/>
    </row>
    <row r="49" spans="2:5" x14ac:dyDescent="0.2">
      <c r="B49" s="47"/>
      <c r="C49" s="47"/>
      <c r="D49" s="47"/>
      <c r="E49" s="47"/>
    </row>
    <row r="50" spans="2:5" x14ac:dyDescent="0.2">
      <c r="B50" s="47"/>
      <c r="C50" s="47"/>
      <c r="D50" s="47"/>
      <c r="E50" s="47"/>
    </row>
  </sheetData>
  <mergeCells count="13">
    <mergeCell ref="D11:E11"/>
    <mergeCell ref="A10:A12"/>
    <mergeCell ref="B10:C10"/>
    <mergeCell ref="F10:G10"/>
    <mergeCell ref="C1:H1"/>
    <mergeCell ref="C2:H2"/>
    <mergeCell ref="C3:H3"/>
    <mergeCell ref="A4:B4"/>
    <mergeCell ref="C4:H4"/>
    <mergeCell ref="H10:H11"/>
    <mergeCell ref="B11:C11"/>
    <mergeCell ref="F11:G11"/>
    <mergeCell ref="D10:E10"/>
  </mergeCells>
  <pageMargins left="0.74803149606299213" right="0.23622047244094491" top="0.74803149606299213" bottom="0.74803149606299213" header="0.31496062992125984" footer="0.31496062992125984"/>
  <pageSetup paperSize="9" scale="78" orientation="landscape" r:id="rId1"/>
  <headerFooter alignWithMargins="0">
    <oddFooter>Página &amp;P de &amp;F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26"/>
  <sheetViews>
    <sheetView view="pageBreakPreview" zoomScale="106" zoomScaleNormal="85" zoomScaleSheetLayoutView="106" workbookViewId="0">
      <selection activeCell="F8" sqref="F8:F9"/>
    </sheetView>
  </sheetViews>
  <sheetFormatPr baseColWidth="10" defaultColWidth="6.42578125" defaultRowHeight="12.75" x14ac:dyDescent="0.2"/>
  <cols>
    <col min="1" max="1" width="15.7109375" customWidth="1"/>
    <col min="2" max="2" width="15.42578125" style="3" customWidth="1"/>
    <col min="3" max="3" width="16.42578125" style="3" customWidth="1"/>
    <col min="4" max="4" width="17.85546875" bestFit="1" customWidth="1"/>
    <col min="5" max="5" width="16.7109375" customWidth="1"/>
    <col min="6" max="6" width="16" customWidth="1"/>
    <col min="7" max="7" width="16.28515625" customWidth="1"/>
    <col min="8" max="8" width="15.140625" customWidth="1"/>
    <col min="10" max="10" width="17.28515625" customWidth="1"/>
    <col min="11" max="11" width="12.85546875" bestFit="1" customWidth="1"/>
  </cols>
  <sheetData>
    <row r="2" spans="1:13" ht="18.75" x14ac:dyDescent="0.2">
      <c r="A2" s="171" t="str">
        <f>+'601 Ingresos'!C2</f>
        <v>empresa ***</v>
      </c>
      <c r="B2" s="171"/>
      <c r="C2" s="171"/>
      <c r="D2" s="171"/>
      <c r="E2" s="171"/>
      <c r="F2" s="171"/>
      <c r="G2" s="8"/>
      <c r="H2" s="8"/>
      <c r="I2" s="8"/>
      <c r="J2" s="8"/>
      <c r="K2" s="8"/>
      <c r="L2" s="8"/>
      <c r="M2" s="1"/>
    </row>
    <row r="3" spans="1:13" ht="8.25" customHeight="1" x14ac:dyDescent="0.3">
      <c r="A3" s="9"/>
    </row>
    <row r="4" spans="1:13" ht="20.25" x14ac:dyDescent="0.3">
      <c r="A4" s="172" t="s">
        <v>24</v>
      </c>
      <c r="B4" s="172"/>
      <c r="C4" s="172"/>
      <c r="D4" s="172"/>
      <c r="E4" s="172"/>
      <c r="F4" s="172"/>
    </row>
    <row r="5" spans="1:13" ht="6.75" customHeight="1" x14ac:dyDescent="0.3">
      <c r="A5" s="10"/>
      <c r="B5" s="10"/>
      <c r="C5" s="10"/>
      <c r="D5" s="10"/>
      <c r="E5" s="10"/>
    </row>
    <row r="6" spans="1:13" ht="18" x14ac:dyDescent="0.25">
      <c r="A6" s="173" t="s">
        <v>25</v>
      </c>
      <c r="B6" s="173"/>
      <c r="C6" s="173"/>
      <c r="D6" s="173"/>
      <c r="E6" s="173"/>
      <c r="F6" s="173"/>
    </row>
    <row r="7" spans="1:13" ht="13.5" thickBot="1" x14ac:dyDescent="0.25"/>
    <row r="8" spans="1:13" ht="49.5" customHeight="1" x14ac:dyDescent="0.2">
      <c r="A8" s="174" t="s">
        <v>26</v>
      </c>
      <c r="B8" s="176" t="s">
        <v>27</v>
      </c>
      <c r="C8" s="177"/>
      <c r="D8" s="11" t="s">
        <v>28</v>
      </c>
      <c r="E8" s="178" t="s">
        <v>29</v>
      </c>
      <c r="F8" s="180" t="s">
        <v>30</v>
      </c>
      <c r="G8" s="167" t="s">
        <v>45</v>
      </c>
      <c r="H8" s="167" t="s">
        <v>30</v>
      </c>
    </row>
    <row r="9" spans="1:13" ht="21.75" customHeight="1" thickBot="1" x14ac:dyDescent="0.25">
      <c r="A9" s="175"/>
      <c r="B9" s="144" t="s">
        <v>31</v>
      </c>
      <c r="C9" s="12" t="s">
        <v>32</v>
      </c>
      <c r="D9" s="13" t="s">
        <v>33</v>
      </c>
      <c r="E9" s="179"/>
      <c r="F9" s="181"/>
      <c r="G9" s="168"/>
      <c r="H9" s="168"/>
    </row>
    <row r="10" spans="1:13" x14ac:dyDescent="0.2">
      <c r="A10" s="138" t="s">
        <v>10</v>
      </c>
      <c r="B10" s="28">
        <f>+'601 Ingresos'!I13</f>
        <v>0</v>
      </c>
      <c r="C10" s="141">
        <v>0</v>
      </c>
      <c r="D10" s="28"/>
      <c r="E10" s="28">
        <v>0</v>
      </c>
      <c r="F10" s="28">
        <f>+B10+C10-D10</f>
        <v>0</v>
      </c>
      <c r="G10" s="108"/>
      <c r="H10" s="126">
        <f>+B10-G10</f>
        <v>0</v>
      </c>
    </row>
    <row r="11" spans="1:13" x14ac:dyDescent="0.2">
      <c r="A11" s="139" t="s">
        <v>11</v>
      </c>
      <c r="B11" s="29">
        <f>+'601 Ingresos'!I14</f>
        <v>0</v>
      </c>
      <c r="C11" s="142">
        <v>0</v>
      </c>
      <c r="D11" s="27"/>
      <c r="E11" s="27">
        <v>0</v>
      </c>
      <c r="F11" s="29">
        <f>+B11+C11-D11-E11</f>
        <v>0</v>
      </c>
      <c r="G11" s="109"/>
      <c r="H11" s="127">
        <f t="shared" ref="H11:H21" si="0">+B11-G11</f>
        <v>0</v>
      </c>
    </row>
    <row r="12" spans="1:13" x14ac:dyDescent="0.2">
      <c r="A12" s="139" t="s">
        <v>12</v>
      </c>
      <c r="B12" s="29">
        <f>+'601 Ingresos'!I15</f>
        <v>0</v>
      </c>
      <c r="C12" s="142">
        <v>0</v>
      </c>
      <c r="D12" s="27"/>
      <c r="E12" s="27">
        <v>0</v>
      </c>
      <c r="F12" s="29">
        <f t="shared" ref="F12:F19" si="1">+B12+C12-D12-E12</f>
        <v>0</v>
      </c>
      <c r="G12" s="109"/>
      <c r="H12" s="127">
        <f t="shared" si="0"/>
        <v>0</v>
      </c>
    </row>
    <row r="13" spans="1:13" x14ac:dyDescent="0.2">
      <c r="A13" s="139" t="s">
        <v>13</v>
      </c>
      <c r="B13" s="29">
        <f>+'601 Ingresos'!I16</f>
        <v>0</v>
      </c>
      <c r="C13" s="142">
        <v>0</v>
      </c>
      <c r="D13" s="27"/>
      <c r="E13" s="27">
        <v>0</v>
      </c>
      <c r="F13" s="29">
        <f t="shared" si="1"/>
        <v>0</v>
      </c>
      <c r="G13" s="109"/>
      <c r="H13" s="127">
        <f t="shared" si="0"/>
        <v>0</v>
      </c>
    </row>
    <row r="14" spans="1:13" x14ac:dyDescent="0.2">
      <c r="A14" s="139" t="s">
        <v>14</v>
      </c>
      <c r="B14" s="29">
        <f>+'601 Ingresos'!I17</f>
        <v>0</v>
      </c>
      <c r="C14" s="142">
        <v>0</v>
      </c>
      <c r="D14" s="27"/>
      <c r="E14" s="27">
        <v>0</v>
      </c>
      <c r="F14" s="29">
        <f>+B14+C14-D14-E14</f>
        <v>0</v>
      </c>
      <c r="G14" s="109"/>
      <c r="H14" s="127">
        <f t="shared" si="0"/>
        <v>0</v>
      </c>
      <c r="J14" s="3"/>
      <c r="K14" s="3"/>
    </row>
    <row r="15" spans="1:13" x14ac:dyDescent="0.2">
      <c r="A15" s="139" t="s">
        <v>15</v>
      </c>
      <c r="B15" s="29">
        <f>+'601 Ingresos'!I18</f>
        <v>0</v>
      </c>
      <c r="C15" s="142">
        <v>0</v>
      </c>
      <c r="D15" s="29"/>
      <c r="E15" s="29">
        <v>0</v>
      </c>
      <c r="F15" s="29">
        <f>+B15+C15-D15-E15</f>
        <v>0</v>
      </c>
      <c r="G15" s="110"/>
      <c r="H15" s="127">
        <f t="shared" si="0"/>
        <v>0</v>
      </c>
      <c r="J15" s="6"/>
    </row>
    <row r="16" spans="1:13" x14ac:dyDescent="0.2">
      <c r="A16" s="139" t="s">
        <v>16</v>
      </c>
      <c r="B16" s="29">
        <f>+'601 Ingresos'!I19</f>
        <v>0</v>
      </c>
      <c r="C16" s="142">
        <v>0</v>
      </c>
      <c r="D16" s="29"/>
      <c r="E16" s="29">
        <v>0</v>
      </c>
      <c r="F16" s="29">
        <f>+B16+C16-D16-E16</f>
        <v>0</v>
      </c>
      <c r="G16" s="110"/>
      <c r="H16" s="127">
        <f t="shared" si="0"/>
        <v>0</v>
      </c>
    </row>
    <row r="17" spans="1:10" x14ac:dyDescent="0.2">
      <c r="A17" s="139" t="s">
        <v>17</v>
      </c>
      <c r="B17" s="29">
        <f>+'601 Ingresos'!I20</f>
        <v>0</v>
      </c>
      <c r="C17" s="142">
        <v>0</v>
      </c>
      <c r="D17" s="29"/>
      <c r="E17" s="29">
        <v>0</v>
      </c>
      <c r="F17" s="29">
        <f t="shared" si="1"/>
        <v>0</v>
      </c>
      <c r="G17" s="110"/>
      <c r="H17" s="127">
        <f t="shared" si="0"/>
        <v>0</v>
      </c>
    </row>
    <row r="18" spans="1:10" x14ac:dyDescent="0.2">
      <c r="A18" s="139" t="s">
        <v>18</v>
      </c>
      <c r="B18" s="29">
        <f>+'601 Ingresos'!I21</f>
        <v>0</v>
      </c>
      <c r="C18" s="142">
        <v>0</v>
      </c>
      <c r="D18" s="29"/>
      <c r="E18" s="29">
        <v>0</v>
      </c>
      <c r="F18" s="29">
        <f t="shared" si="1"/>
        <v>0</v>
      </c>
      <c r="G18" s="110"/>
      <c r="H18" s="127">
        <f t="shared" si="0"/>
        <v>0</v>
      </c>
    </row>
    <row r="19" spans="1:10" x14ac:dyDescent="0.2">
      <c r="A19" s="139" t="s">
        <v>19</v>
      </c>
      <c r="B19" s="29">
        <f>+'601 Ingresos'!I22</f>
        <v>0</v>
      </c>
      <c r="C19" s="142">
        <v>0</v>
      </c>
      <c r="D19" s="29"/>
      <c r="E19" s="29"/>
      <c r="F19" s="29">
        <f t="shared" si="1"/>
        <v>0</v>
      </c>
      <c r="G19" s="111"/>
      <c r="H19" s="127">
        <f t="shared" si="0"/>
        <v>0</v>
      </c>
    </row>
    <row r="20" spans="1:10" x14ac:dyDescent="0.2">
      <c r="A20" s="139" t="s">
        <v>20</v>
      </c>
      <c r="B20" s="29">
        <f>+'601 Ingresos'!I23</f>
        <v>0</v>
      </c>
      <c r="C20" s="142">
        <v>0</v>
      </c>
      <c r="D20" s="27"/>
      <c r="E20" s="29"/>
      <c r="F20" s="29">
        <f>+B20+C20-D20</f>
        <v>0</v>
      </c>
      <c r="G20" s="111"/>
      <c r="H20" s="127">
        <f t="shared" si="0"/>
        <v>0</v>
      </c>
    </row>
    <row r="21" spans="1:10" ht="13.5" thickBot="1" x14ac:dyDescent="0.25">
      <c r="A21" s="140" t="s">
        <v>21</v>
      </c>
      <c r="B21" s="31">
        <f>+'601 Ingresos'!I24</f>
        <v>0</v>
      </c>
      <c r="C21" s="143">
        <v>0</v>
      </c>
      <c r="D21" s="7"/>
      <c r="E21" s="7"/>
      <c r="F21" s="31">
        <f>+B21+C21-D21</f>
        <v>0</v>
      </c>
      <c r="G21" s="111"/>
      <c r="H21" s="128">
        <f t="shared" si="0"/>
        <v>0</v>
      </c>
      <c r="J21" s="14"/>
    </row>
    <row r="22" spans="1:10" s="14" customFormat="1" ht="13.5" thickBot="1" x14ac:dyDescent="0.25">
      <c r="A22" s="15"/>
      <c r="B22" s="145">
        <f t="shared" ref="B22:H22" si="2">SUM(B10:B21)</f>
        <v>0</v>
      </c>
      <c r="C22" s="87">
        <f t="shared" si="2"/>
        <v>0</v>
      </c>
      <c r="D22" s="129">
        <f>SUM(D10:D21)</f>
        <v>0</v>
      </c>
      <c r="E22" s="16">
        <f t="shared" si="2"/>
        <v>0</v>
      </c>
      <c r="F22" s="16">
        <f t="shared" si="2"/>
        <v>0</v>
      </c>
      <c r="G22" s="112">
        <f t="shared" si="2"/>
        <v>0</v>
      </c>
      <c r="H22" s="113">
        <f t="shared" si="2"/>
        <v>0</v>
      </c>
    </row>
    <row r="23" spans="1:10" x14ac:dyDescent="0.2">
      <c r="D23" s="6">
        <v>0</v>
      </c>
      <c r="J23" s="14"/>
    </row>
    <row r="24" spans="1:10" x14ac:dyDescent="0.2">
      <c r="A24" s="146" t="s">
        <v>106</v>
      </c>
      <c r="D24" s="17"/>
      <c r="E24" s="6"/>
      <c r="J24" s="14"/>
    </row>
    <row r="25" spans="1:10" ht="29.25" customHeight="1" x14ac:dyDescent="0.2">
      <c r="A25" s="169" t="s">
        <v>105</v>
      </c>
      <c r="B25" s="170"/>
      <c r="C25" s="170"/>
      <c r="D25" s="170"/>
      <c r="E25" s="170"/>
      <c r="F25" s="170"/>
      <c r="G25" s="170"/>
      <c r="H25" s="40"/>
    </row>
    <row r="26" spans="1:10" x14ac:dyDescent="0.2">
      <c r="A26" s="5"/>
      <c r="B26" s="4"/>
    </row>
  </sheetData>
  <mergeCells count="10">
    <mergeCell ref="H8:H9"/>
    <mergeCell ref="A25:G25"/>
    <mergeCell ref="A2:F2"/>
    <mergeCell ref="A4:F4"/>
    <mergeCell ref="A6:F6"/>
    <mergeCell ref="A8:A9"/>
    <mergeCell ref="B8:C8"/>
    <mergeCell ref="E8:E9"/>
    <mergeCell ref="F8:F9"/>
    <mergeCell ref="G8:G9"/>
  </mergeCells>
  <pageMargins left="0.19685039370078741" right="0.19685039370078741" top="0.59055118110236227" bottom="0.27559055118110237" header="0" footer="0.31496062992125984"/>
  <pageSetup paperSize="9" scale="7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42"/>
  <sheetViews>
    <sheetView view="pageBreakPreview" zoomScaleNormal="70" zoomScaleSheetLayoutView="100" workbookViewId="0">
      <selection activeCell="A4" sqref="A4:I4"/>
    </sheetView>
  </sheetViews>
  <sheetFormatPr baseColWidth="10" defaultRowHeight="12.75" x14ac:dyDescent="0.2"/>
  <cols>
    <col min="1" max="1" width="14" customWidth="1"/>
    <col min="2" max="2" width="18.28515625" style="3" customWidth="1"/>
    <col min="3" max="3" width="17.140625" style="3" customWidth="1"/>
    <col min="4" max="4" width="19.140625" style="3" customWidth="1"/>
    <col min="5" max="5" width="15.28515625" style="2" customWidth="1"/>
    <col min="6" max="6" width="14.85546875" style="2" customWidth="1"/>
    <col min="7" max="7" width="14.42578125" style="2" customWidth="1"/>
    <col min="8" max="8" width="22.7109375" style="2" customWidth="1"/>
    <col min="9" max="9" width="19.28515625" style="2" customWidth="1"/>
    <col min="10" max="10" width="11.42578125" style="1"/>
  </cols>
  <sheetData>
    <row r="1" spans="1:10" ht="22.5" x14ac:dyDescent="0.35">
      <c r="A1" s="183" t="s">
        <v>23</v>
      </c>
      <c r="B1" s="183"/>
      <c r="C1" s="183"/>
      <c r="D1" s="183"/>
      <c r="E1" s="183"/>
      <c r="F1" s="183"/>
      <c r="G1" s="183"/>
      <c r="H1" s="183"/>
      <c r="I1" s="183"/>
    </row>
    <row r="2" spans="1:10" ht="15" customHeight="1" x14ac:dyDescent="0.25">
      <c r="A2" s="184" t="str">
        <f>+'601 Ingresos'!C2</f>
        <v>empresa ***</v>
      </c>
      <c r="B2" s="184"/>
      <c r="C2" s="184"/>
      <c r="D2" s="184"/>
      <c r="E2" s="184"/>
      <c r="F2" s="184"/>
      <c r="G2" s="184"/>
      <c r="H2" s="184"/>
      <c r="I2" s="184"/>
    </row>
    <row r="3" spans="1:10" ht="21" x14ac:dyDescent="0.35">
      <c r="A3" s="185" t="s">
        <v>111</v>
      </c>
      <c r="B3" s="185"/>
      <c r="C3" s="185"/>
      <c r="D3" s="185"/>
      <c r="E3" s="185"/>
      <c r="F3" s="185"/>
      <c r="G3" s="185"/>
      <c r="H3" s="185"/>
      <c r="I3" s="185"/>
    </row>
    <row r="4" spans="1:10" ht="26.25" x14ac:dyDescent="0.4">
      <c r="A4" s="186" t="s">
        <v>37</v>
      </c>
      <c r="B4" s="186"/>
      <c r="C4" s="186"/>
      <c r="D4" s="186"/>
      <c r="E4" s="186"/>
      <c r="F4" s="186"/>
      <c r="G4" s="186"/>
      <c r="H4" s="186"/>
      <c r="I4" s="186"/>
    </row>
    <row r="5" spans="1:10" ht="25.5" customHeight="1" x14ac:dyDescent="0.4">
      <c r="E5" s="18"/>
      <c r="F5" s="18"/>
      <c r="G5" s="18"/>
      <c r="H5" s="19"/>
    </row>
    <row r="6" spans="1:10" ht="27" thickBot="1" x14ac:dyDescent="0.25">
      <c r="B6" s="187" t="s">
        <v>34</v>
      </c>
      <c r="C6" s="187"/>
      <c r="D6" s="187"/>
      <c r="E6" s="20"/>
      <c r="F6" s="20"/>
      <c r="G6" s="20"/>
      <c r="H6" s="21"/>
    </row>
    <row r="7" spans="1:10" s="22" customFormat="1" ht="43.5" customHeight="1" thickBot="1" x14ac:dyDescent="0.25">
      <c r="B7" s="23" t="s">
        <v>35</v>
      </c>
      <c r="C7" s="25" t="s">
        <v>36</v>
      </c>
      <c r="D7" s="23" t="s">
        <v>30</v>
      </c>
      <c r="E7" s="24"/>
      <c r="F7" s="21"/>
      <c r="G7" s="20"/>
      <c r="H7" s="26"/>
    </row>
    <row r="8" spans="1:10" x14ac:dyDescent="0.2">
      <c r="A8" t="s">
        <v>10</v>
      </c>
      <c r="B8" s="30">
        <f>+'601 Comp impuestos'!D10</f>
        <v>0</v>
      </c>
      <c r="C8" s="30"/>
      <c r="D8" s="27">
        <f>+B8-C8</f>
        <v>0</v>
      </c>
      <c r="E8" s="3"/>
      <c r="H8" s="1"/>
      <c r="I8"/>
      <c r="J8"/>
    </row>
    <row r="9" spans="1:10" x14ac:dyDescent="0.2">
      <c r="A9" t="s">
        <v>11</v>
      </c>
      <c r="B9" s="36">
        <f>+'601 Comp impuestos'!D11</f>
        <v>0</v>
      </c>
      <c r="C9" s="30"/>
      <c r="D9" s="27">
        <f t="shared" ref="D9:D19" si="0">+B9-C9</f>
        <v>0</v>
      </c>
      <c r="E9" s="3"/>
      <c r="H9" s="1"/>
      <c r="I9"/>
      <c r="J9"/>
    </row>
    <row r="10" spans="1:10" x14ac:dyDescent="0.2">
      <c r="A10" t="s">
        <v>12</v>
      </c>
      <c r="B10" s="36">
        <f>+'601 Comp impuestos'!D12</f>
        <v>0</v>
      </c>
      <c r="C10" s="30"/>
      <c r="D10" s="27">
        <f t="shared" si="0"/>
        <v>0</v>
      </c>
      <c r="E10" s="3"/>
      <c r="H10" s="1"/>
      <c r="I10"/>
      <c r="J10"/>
    </row>
    <row r="11" spans="1:10" x14ac:dyDescent="0.2">
      <c r="A11" t="s">
        <v>13</v>
      </c>
      <c r="B11" s="36">
        <f>+'601 Comp impuestos'!D13</f>
        <v>0</v>
      </c>
      <c r="C11" s="30"/>
      <c r="D11" s="27">
        <f t="shared" si="0"/>
        <v>0</v>
      </c>
      <c r="E11" s="3"/>
      <c r="H11" s="1"/>
      <c r="I11"/>
      <c r="J11"/>
    </row>
    <row r="12" spans="1:10" x14ac:dyDescent="0.2">
      <c r="A12" t="s">
        <v>14</v>
      </c>
      <c r="B12" s="36">
        <f>+'601 Comp impuestos'!D14</f>
        <v>0</v>
      </c>
      <c r="C12" s="30"/>
      <c r="D12" s="27">
        <f t="shared" si="0"/>
        <v>0</v>
      </c>
      <c r="E12" s="3"/>
      <c r="H12" s="1"/>
      <c r="I12"/>
      <c r="J12"/>
    </row>
    <row r="13" spans="1:10" x14ac:dyDescent="0.2">
      <c r="A13" t="s">
        <v>15</v>
      </c>
      <c r="B13" s="36">
        <f>+'601 Comp impuestos'!D15</f>
        <v>0</v>
      </c>
      <c r="C13" s="30"/>
      <c r="D13" s="27">
        <f t="shared" si="0"/>
        <v>0</v>
      </c>
      <c r="E13" s="3"/>
      <c r="H13" s="1"/>
      <c r="I13"/>
      <c r="J13"/>
    </row>
    <row r="14" spans="1:10" x14ac:dyDescent="0.2">
      <c r="A14" t="s">
        <v>16</v>
      </c>
      <c r="B14" s="36">
        <f>+'601 Comp impuestos'!D16</f>
        <v>0</v>
      </c>
      <c r="C14" s="30"/>
      <c r="D14" s="27">
        <f t="shared" si="0"/>
        <v>0</v>
      </c>
      <c r="E14" s="3"/>
      <c r="H14" s="1"/>
      <c r="I14"/>
      <c r="J14"/>
    </row>
    <row r="15" spans="1:10" x14ac:dyDescent="0.2">
      <c r="A15" t="s">
        <v>17</v>
      </c>
      <c r="B15" s="36">
        <f>+'601 Comp impuestos'!D17</f>
        <v>0</v>
      </c>
      <c r="C15" s="30"/>
      <c r="D15" s="27">
        <f t="shared" si="0"/>
        <v>0</v>
      </c>
      <c r="E15" s="3"/>
      <c r="H15" s="1"/>
      <c r="I15"/>
      <c r="J15"/>
    </row>
    <row r="16" spans="1:10" x14ac:dyDescent="0.2">
      <c r="A16" t="s">
        <v>18</v>
      </c>
      <c r="B16" s="36">
        <f>+'601 Comp impuestos'!D18</f>
        <v>0</v>
      </c>
      <c r="C16" s="30"/>
      <c r="D16" s="27">
        <f t="shared" si="0"/>
        <v>0</v>
      </c>
      <c r="E16" s="3"/>
      <c r="H16" s="1"/>
      <c r="I16"/>
      <c r="J16"/>
    </row>
    <row r="17" spans="1:10" x14ac:dyDescent="0.2">
      <c r="A17" t="s">
        <v>19</v>
      </c>
      <c r="B17" s="36">
        <f>+'601 Comp impuestos'!D19</f>
        <v>0</v>
      </c>
      <c r="C17" s="30"/>
      <c r="D17" s="27">
        <f t="shared" si="0"/>
        <v>0</v>
      </c>
      <c r="E17" s="3"/>
      <c r="H17" s="1"/>
      <c r="I17"/>
      <c r="J17"/>
    </row>
    <row r="18" spans="1:10" x14ac:dyDescent="0.2">
      <c r="A18" t="s">
        <v>20</v>
      </c>
      <c r="B18" s="37">
        <f>+'601 Comp impuestos'!D20</f>
        <v>0</v>
      </c>
      <c r="C18" s="38"/>
      <c r="D18" s="27">
        <f t="shared" si="0"/>
        <v>0</v>
      </c>
      <c r="E18" s="3"/>
      <c r="H18" s="1"/>
      <c r="I18"/>
      <c r="J18"/>
    </row>
    <row r="19" spans="1:10" ht="13.5" thickBot="1" x14ac:dyDescent="0.25">
      <c r="A19" t="s">
        <v>21</v>
      </c>
      <c r="B19" s="39">
        <f>+'601 Comp impuestos'!D21</f>
        <v>0</v>
      </c>
      <c r="C19" s="39"/>
      <c r="D19" s="27">
        <f t="shared" si="0"/>
        <v>0</v>
      </c>
      <c r="E19" s="3"/>
      <c r="H19" s="1"/>
      <c r="I19"/>
      <c r="J19"/>
    </row>
    <row r="20" spans="1:10" ht="15.75" thickBot="1" x14ac:dyDescent="0.3">
      <c r="B20" s="32">
        <f t="shared" ref="B20:D20" si="1">SUM(B8:B19)</f>
        <v>0</v>
      </c>
      <c r="C20" s="32">
        <f t="shared" si="1"/>
        <v>0</v>
      </c>
      <c r="D20" s="32">
        <f t="shared" si="1"/>
        <v>0</v>
      </c>
      <c r="E20" s="3"/>
      <c r="F20" s="33"/>
      <c r="H20" s="1"/>
      <c r="I20"/>
      <c r="J20"/>
    </row>
    <row r="22" spans="1:10" x14ac:dyDescent="0.2">
      <c r="A22" s="147"/>
      <c r="B22" s="88"/>
    </row>
    <row r="24" spans="1:10" x14ac:dyDescent="0.2">
      <c r="A24" s="34"/>
      <c r="B24" s="104" t="s">
        <v>39</v>
      </c>
      <c r="C24" s="35"/>
    </row>
    <row r="25" spans="1:10" x14ac:dyDescent="0.2">
      <c r="A25" s="34"/>
      <c r="B25" s="104" t="s">
        <v>40</v>
      </c>
      <c r="C25" s="35"/>
    </row>
    <row r="26" spans="1:10" ht="54.75" customHeight="1" x14ac:dyDescent="0.2">
      <c r="A26" s="34"/>
      <c r="B26" s="182" t="s">
        <v>41</v>
      </c>
      <c r="C26" s="182"/>
      <c r="D26" s="182"/>
      <c r="E26" s="182"/>
      <c r="F26" s="182"/>
      <c r="G26" s="182"/>
      <c r="H26" s="182"/>
      <c r="I26" s="182"/>
    </row>
    <row r="27" spans="1:10" x14ac:dyDescent="0.2">
      <c r="A27" s="34"/>
      <c r="B27" s="103"/>
      <c r="C27" s="35"/>
    </row>
    <row r="28" spans="1:10" x14ac:dyDescent="0.2">
      <c r="A28" s="34"/>
      <c r="B28" s="103"/>
      <c r="C28" s="35"/>
    </row>
    <row r="29" spans="1:10" x14ac:dyDescent="0.2">
      <c r="A29" s="89"/>
      <c r="B29" s="88"/>
      <c r="C29" s="88"/>
      <c r="D29" s="88"/>
      <c r="I29" s="105" t="s">
        <v>42</v>
      </c>
    </row>
    <row r="30" spans="1:10" x14ac:dyDescent="0.2">
      <c r="A30" s="1"/>
      <c r="B30" s="2"/>
      <c r="C30" s="2"/>
      <c r="D30" s="2"/>
    </row>
    <row r="31" spans="1:10" ht="15" x14ac:dyDescent="0.25">
      <c r="A31" s="1"/>
      <c r="B31" s="33"/>
      <c r="C31" s="33"/>
      <c r="D31" s="2"/>
    </row>
    <row r="32" spans="1:10" ht="15" x14ac:dyDescent="0.25">
      <c r="A32" s="1"/>
      <c r="B32" s="33"/>
      <c r="C32" s="33"/>
      <c r="D32" s="2"/>
    </row>
    <row r="33" spans="1:4" ht="15" x14ac:dyDescent="0.25">
      <c r="A33" s="1"/>
      <c r="B33" s="33"/>
      <c r="C33" s="33"/>
      <c r="D33" s="2"/>
    </row>
    <row r="34" spans="1:4" ht="15" x14ac:dyDescent="0.25">
      <c r="A34" s="1"/>
      <c r="B34" s="33"/>
      <c r="C34" s="33"/>
      <c r="D34" s="2"/>
    </row>
    <row r="35" spans="1:4" ht="15" x14ac:dyDescent="0.25">
      <c r="A35" s="1"/>
      <c r="B35" s="33"/>
      <c r="C35" s="33"/>
      <c r="D35" s="2"/>
    </row>
    <row r="36" spans="1:4" ht="15" x14ac:dyDescent="0.25">
      <c r="A36" s="1"/>
      <c r="B36" s="33"/>
      <c r="C36" s="33"/>
      <c r="D36" s="2"/>
    </row>
    <row r="37" spans="1:4" ht="15" x14ac:dyDescent="0.25">
      <c r="A37" s="1"/>
      <c r="B37" s="33"/>
      <c r="C37" s="33"/>
      <c r="D37" s="2"/>
    </row>
    <row r="38" spans="1:4" ht="15" x14ac:dyDescent="0.25">
      <c r="A38" s="1"/>
      <c r="B38" s="33"/>
      <c r="C38" s="33"/>
      <c r="D38" s="2"/>
    </row>
    <row r="39" spans="1:4" ht="15" x14ac:dyDescent="0.25">
      <c r="A39" s="1"/>
      <c r="B39" s="33"/>
      <c r="C39" s="33"/>
      <c r="D39" s="2"/>
    </row>
    <row r="40" spans="1:4" x14ac:dyDescent="0.2">
      <c r="A40" s="1"/>
      <c r="B40" s="2"/>
      <c r="C40" s="2"/>
      <c r="D40" s="2"/>
    </row>
    <row r="41" spans="1:4" x14ac:dyDescent="0.2">
      <c r="A41" s="1"/>
      <c r="B41" s="2"/>
      <c r="C41" s="2"/>
      <c r="D41" s="2"/>
    </row>
    <row r="42" spans="1:4" x14ac:dyDescent="0.2">
      <c r="A42" s="1"/>
      <c r="B42" s="2"/>
      <c r="C42" s="2"/>
      <c r="D42" s="2"/>
    </row>
  </sheetData>
  <mergeCells count="6">
    <mergeCell ref="B26:I26"/>
    <mergeCell ref="A1:I1"/>
    <mergeCell ref="A2:I2"/>
    <mergeCell ref="A3:I3"/>
    <mergeCell ref="A4:I4"/>
    <mergeCell ref="B6:D6"/>
  </mergeCells>
  <pageMargins left="0.47244094488188981" right="0.39370078740157483" top="0.74803149606299213" bottom="0.74803149606299213" header="0.31496062992125984" footer="0.31496062992125984"/>
  <pageSetup paperSize="9" scale="9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
  <sheetViews>
    <sheetView zoomScale="90" zoomScaleNormal="90" workbookViewId="0">
      <selection activeCell="D9" sqref="D9"/>
    </sheetView>
  </sheetViews>
  <sheetFormatPr baseColWidth="10" defaultRowHeight="14.25" x14ac:dyDescent="0.2"/>
  <cols>
    <col min="1" max="2" width="11.42578125" style="131"/>
    <col min="3" max="4" width="11.42578125" style="130"/>
    <col min="5" max="7" width="11.42578125" style="132"/>
    <col min="8" max="9" width="11.42578125" style="130"/>
    <col min="10" max="11" width="11.42578125" style="133"/>
    <col min="12" max="12" width="11.42578125" style="130"/>
    <col min="13" max="17" width="11.42578125" style="133"/>
    <col min="18" max="16384" width="11.42578125" style="130"/>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3</vt:i4>
      </vt:variant>
    </vt:vector>
  </HeadingPairs>
  <TitlesOfParts>
    <vt:vector size="10" baseType="lpstr">
      <vt:lpstr>P-600</vt:lpstr>
      <vt:lpstr>600-1</vt:lpstr>
      <vt:lpstr>601 mayor</vt:lpstr>
      <vt:lpstr>601 Ingresos</vt:lpstr>
      <vt:lpstr>601 Comp impuestos</vt:lpstr>
      <vt:lpstr>601 anexo con declaraciones</vt:lpstr>
      <vt:lpstr>601 Reporte de venta</vt:lpstr>
      <vt:lpstr>'601 Comp impuestos'!Área_de_impresión</vt:lpstr>
      <vt:lpstr>'601 Ingresos'!Área_de_impresión</vt:lpstr>
      <vt:lpstr>'601 Ingresos'!Títulos_a_imprimir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cp:lastPrinted>2020-02-21T02:44:23Z</cp:lastPrinted>
  <dcterms:created xsi:type="dcterms:W3CDTF">2017-10-31T16:50:59Z</dcterms:created>
  <dcterms:modified xsi:type="dcterms:W3CDTF">2023-08-25T16:41:11Z</dcterms:modified>
</cp:coreProperties>
</file>