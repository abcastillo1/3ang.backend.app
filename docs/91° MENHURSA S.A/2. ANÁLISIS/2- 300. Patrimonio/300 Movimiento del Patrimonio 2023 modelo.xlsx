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filterPrivacy="1" defaultThemeVersion="124226"/>
  <xr:revisionPtr revIDLastSave="0" documentId="13_ncr:1_{13BA5038-A972-485E-89D3-9355A0BC598F}" xr6:coauthVersionLast="47" xr6:coauthVersionMax="47" xr10:uidLastSave="{00000000-0000-0000-0000-000000000000}"/>
  <bookViews>
    <workbookView xWindow="-120" yWindow="-120" windowWidth="20730" windowHeight="11040" tabRatio="771" xr2:uid="{00000000-000D-0000-FFFF-FFFF00000000}"/>
  </bookViews>
  <sheets>
    <sheet name="P-300" sheetId="10" r:id="rId1"/>
    <sheet name="300-1" sheetId="11" r:id="rId2"/>
    <sheet name="Movimiento" sheetId="7"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7" i="11" l="1"/>
  <c r="C18" i="11" s="1"/>
  <c r="D4" i="11"/>
  <c r="L8" i="10"/>
  <c r="H8" i="10"/>
  <c r="G15" i="7"/>
  <c r="B21" i="7"/>
  <c r="G12" i="7"/>
  <c r="D19" i="7"/>
  <c r="C19" i="7" l="1"/>
  <c r="F7" i="7"/>
  <c r="G13" i="7"/>
  <c r="G14" i="7"/>
  <c r="G17" i="7"/>
  <c r="G18" i="7"/>
  <c r="F19" i="7"/>
  <c r="E19" i="7"/>
  <c r="B19" i="7"/>
  <c r="G19" i="7" l="1"/>
  <c r="B22" i="7" s="1"/>
</calcChain>
</file>

<file path=xl/sharedStrings.xml><?xml version="1.0" encoding="utf-8"?>
<sst xmlns="http://schemas.openxmlformats.org/spreadsheetml/2006/main" count="229" uniqueCount="179">
  <si>
    <t>TOTAL</t>
  </si>
  <si>
    <t>DETALLE</t>
  </si>
  <si>
    <t>MOVIMIENTO DEL PATRIMONIO</t>
  </si>
  <si>
    <t>PAPELES DE TRABAJO 3 AN.G. ADMINISTRACION DE NEGOCIOS GERENCIALES CIA. LTDA.</t>
  </si>
  <si>
    <t xml:space="preserve">
</t>
  </si>
  <si>
    <t>ELABORADO POR</t>
  </si>
  <si>
    <t>FECHA:</t>
  </si>
  <si>
    <t>REVISADO POR</t>
  </si>
  <si>
    <t>Adiciones</t>
  </si>
  <si>
    <t>Otros cambios</t>
  </si>
  <si>
    <t>Transferencia de Resultados a otras cuentas patrimoniales</t>
  </si>
  <si>
    <t>Utilidadad neta del periodo</t>
  </si>
  <si>
    <t>según balance</t>
  </si>
  <si>
    <t>Kely Balarezo</t>
  </si>
  <si>
    <t>diferencia</t>
  </si>
  <si>
    <t>3.01.01.01</t>
  </si>
  <si>
    <t>3.01.03</t>
  </si>
  <si>
    <t>3.01.05</t>
  </si>
  <si>
    <t>3.06.01</t>
  </si>
  <si>
    <t>3.07.01</t>
  </si>
  <si>
    <t>Capitalizacion socios</t>
  </si>
  <si>
    <t>Capital Suscrito</t>
  </si>
  <si>
    <t>Revalorizacion de activos</t>
  </si>
  <si>
    <t>Ganancias acumuladas</t>
  </si>
  <si>
    <t>Ganancia neta del periodo</t>
  </si>
  <si>
    <t>Transferencias entre cuentas patrimoniales</t>
  </si>
  <si>
    <t>********</t>
  </si>
  <si>
    <t>3 ANG ADMINISTRACIÓN DE NEGOCIOS GERENCIALES CÍA LTDA.</t>
  </si>
  <si>
    <t>PROGRAMA DE AUDITORÍA SOBRE LOS ESTADOS FINANCIEROS</t>
  </si>
  <si>
    <t>P-300</t>
  </si>
  <si>
    <t>REF P.T</t>
  </si>
  <si>
    <t xml:space="preserve">CLIENTE:             </t>
  </si>
  <si>
    <t>ABC</t>
  </si>
  <si>
    <t xml:space="preserve">PERIODO:      </t>
  </si>
  <si>
    <t>Desde el 01 de enero al 31 de Diciembre del 2023</t>
  </si>
  <si>
    <t>Preliminar:</t>
  </si>
  <si>
    <t>Final</t>
  </si>
  <si>
    <t>ÁREA</t>
  </si>
  <si>
    <t>PATRIMONIO</t>
  </si>
  <si>
    <t>(x)</t>
  </si>
  <si>
    <t>Firma y sello</t>
  </si>
  <si>
    <t xml:space="preserve">ELABORADO POR: </t>
  </si>
  <si>
    <t>Elizabeth Palacios</t>
  </si>
  <si>
    <t>R.C</t>
  </si>
  <si>
    <t>REVISADO POR:</t>
  </si>
  <si>
    <t>Roy Cisneros</t>
  </si>
  <si>
    <t>OBJETIVOS:</t>
  </si>
  <si>
    <t>1. Determinación de la autenticidad de las aportaciones de los dueños o accionistas de la sociedad.</t>
  </si>
  <si>
    <t>Las cantidades incluidos en el Balance General como Capital, Reservas, Utilidades Retenidas y del ejercicio, están debidamente clasificados, descritos y expuestos de acuerdo con los principios de contabilidad generalmente aceptados y se registran de acuerdo a las disposiciones de la escritura de constitución (Aprobación de estatutos por el Ministerio de Bienestar Social).</t>
  </si>
  <si>
    <t>REFERENCIAS</t>
  </si>
  <si>
    <t>ASEVERACIÓN:</t>
  </si>
  <si>
    <t>REVISIÓN</t>
  </si>
  <si>
    <t>TIPO DE PRUEBA</t>
  </si>
  <si>
    <t>E</t>
  </si>
  <si>
    <t>Existencia u ocurrencia</t>
  </si>
  <si>
    <r>
      <rPr>
        <b/>
        <sz val="10"/>
        <color rgb="FFFF0000"/>
        <rFont val="Times New Roman"/>
        <family val="1"/>
      </rPr>
      <t xml:space="preserve">V  </t>
    </r>
    <r>
      <rPr>
        <sz val="10"/>
        <color theme="1"/>
        <rFont val="Times New Roman"/>
        <family val="1"/>
      </rPr>
      <t xml:space="preserve"> Valuacion</t>
    </r>
  </si>
  <si>
    <t>✓</t>
  </si>
  <si>
    <t>Preliminar</t>
  </si>
  <si>
    <t>Pruebas Suntantivos.</t>
  </si>
  <si>
    <t>I</t>
  </si>
  <si>
    <t>Integridad o totalidad</t>
  </si>
  <si>
    <r>
      <rPr>
        <b/>
        <sz val="10"/>
        <color rgb="FFFF0000"/>
        <rFont val="Times New Roman"/>
        <family val="1"/>
      </rPr>
      <t xml:space="preserve">P   </t>
    </r>
    <r>
      <rPr>
        <sz val="10"/>
        <color theme="1"/>
        <rFont val="Times New Roman"/>
        <family val="1"/>
      </rPr>
      <t xml:space="preserve"> Presentación y divulgación</t>
    </r>
  </si>
  <si>
    <t>D</t>
  </si>
  <si>
    <t>. Pruebas Suntantivas de Detalle.</t>
  </si>
  <si>
    <t>Derechos y obligaciones</t>
  </si>
  <si>
    <r>
      <rPr>
        <b/>
        <sz val="10"/>
        <color rgb="FFFF0000"/>
        <rFont val="Times New Roman"/>
        <family val="1"/>
      </rPr>
      <t>P1</t>
    </r>
    <r>
      <rPr>
        <sz val="10"/>
        <color theme="1"/>
        <rFont val="Times New Roman"/>
        <family val="1"/>
      </rPr>
      <t xml:space="preserve">   Período</t>
    </r>
  </si>
  <si>
    <t>Prel y Final</t>
  </si>
  <si>
    <t>A</t>
  </si>
  <si>
    <t>. Pruebas Suntantivas Analíticas</t>
  </si>
  <si>
    <r>
      <rPr>
        <b/>
        <sz val="10"/>
        <color rgb="FFFF0000"/>
        <rFont val="Times New Roman"/>
        <family val="1"/>
      </rPr>
      <t xml:space="preserve">C  </t>
    </r>
    <r>
      <rPr>
        <sz val="10"/>
        <color theme="1"/>
        <rFont val="Times New Roman"/>
        <family val="1"/>
      </rPr>
      <t xml:space="preserve"> Clasificación</t>
    </r>
  </si>
  <si>
    <t>C</t>
  </si>
  <si>
    <t>Pruebas de Control o Cumplimiento.</t>
  </si>
  <si>
    <t>PROCEDIMIENTOS</t>
  </si>
  <si>
    <t>ASEVERACIÓN</t>
  </si>
  <si>
    <t>REFERENCIA P. T</t>
  </si>
  <si>
    <t>PRUEBAS</t>
  </si>
  <si>
    <t>V</t>
  </si>
  <si>
    <t>P</t>
  </si>
  <si>
    <t>P1</t>
  </si>
  <si>
    <t>Verifique los saldos iniciales con los balances del período anterior</t>
  </si>
  <si>
    <t>Preparar un detalle que muestre por cada cuenta integrante del rubro capital, reservas y utilidades retenidas el movimiento que ha existido durante el período (aumentos, disminuciones, saldo al final del período).</t>
  </si>
  <si>
    <t>300-</t>
  </si>
  <si>
    <t>Efectúe el alcance al movimiento de las cuentas de capital, reservas y utilidades retenidas y ligue con los estados financieros, de ser necesario explique movimientos importantes realizados.</t>
  </si>
  <si>
    <t>Verifique la adecuada apropiación para la reserva legal y que se la haya realizado sobre una base de calculo correcta según los términos legales</t>
  </si>
  <si>
    <r>
      <t xml:space="preserve">Solicite las </t>
    </r>
    <r>
      <rPr>
        <b/>
        <sz val="12"/>
        <color theme="1"/>
        <rFont val="Times New Roman"/>
        <family val="1"/>
      </rPr>
      <t>actas ordinarias</t>
    </r>
    <r>
      <rPr>
        <sz val="12"/>
        <color theme="1"/>
        <rFont val="Times New Roman"/>
        <family val="1"/>
      </rPr>
      <t xml:space="preserve"> y extraordinarias de junta general de socios o accionistas emitidas hasta la fecha de presencia en el cliente. Elabore un resumen detallando el tipo de acta, fecha, concepto, asunto del que trata. Obtenga una copia de las más importantes.</t>
    </r>
  </si>
  <si>
    <t>Preparar un detalle de las cuentas que componen esta área al cierre del ejercicio.</t>
  </si>
  <si>
    <t>En caso de ser la primera ,auditoría, obtener una evolución histórica de las cuentas que representan el patrimonio desde su constitución.</t>
  </si>
  <si>
    <t>Para aumentos y disminuciones de capital, comprobar con las actas e inscripción en el  Registro Mercantil,  así como la liquidación de impuestos.</t>
  </si>
  <si>
    <t>Realizar el movimiento Patrimonial en el cual se pueda observar y analizar las variaciones que ha tenido durante el período, el movimiento debe contener: *Concepto o Descripción * Ajustes * Reclasificaciones</t>
  </si>
  <si>
    <t>Realice una lectura de las actas de directorio que se hayan emitido durante el período sujeto a revisión y las del siguiente.</t>
  </si>
  <si>
    <t>Solicitar el cuadro de los accionistas actualizado; En caso de empresas nuevas el cuadro desde su creación.</t>
  </si>
  <si>
    <t>Del movimiento realizado en el punto anterior proceda a explicar los aumentos y disminuciones más significativas.</t>
  </si>
  <si>
    <t>Para todos los dividendos pagados o por pagar:</t>
  </si>
  <si>
    <t>a)        Verifique que estén debidamente autorizados.</t>
  </si>
  <si>
    <t>b)        Verifique que la cantidad haya sido debidamente calculada.</t>
  </si>
  <si>
    <t>c)        Verifique que el pago no sea contrario a la Ley o lo dispuesto en el acta constitutiva.</t>
  </si>
  <si>
    <t>d)        Verifique el tratamiento fiscal.</t>
  </si>
  <si>
    <t>Solicite las actas ordinarias y extraordinarias de junta general de socios o accionistas emitidas hasta la fecha de presencia en el cliente. Elabore un resumen detallando el tipo de acta, fecha, concepto, asunto del que trata. Obtenga una copia de las más importantes.</t>
  </si>
  <si>
    <t xml:space="preserve"> Concluya el área en base a los objetivos de auditoría.</t>
  </si>
  <si>
    <t>ACCIONES DE CAPITAL</t>
  </si>
  <si>
    <t>1. Obtener conocimiento del control interno sobre las transacciones de acciones de capital.</t>
  </si>
  <si>
    <t>Para la correcta revisión, estudio y evolución del control interno se deberán revisar los siguientes aspectos:</t>
  </si>
  <si>
    <t>A) Existencia de registro de la emisión de los títulos que amparen las partes del capital social.</t>
  </si>
  <si>
    <t>B) Custodia y arqueo de títulos</t>
  </si>
  <si>
    <t>* Los movimientos deben estar aprobados por  la junta general de accionistas u órgano competente.</t>
  </si>
  <si>
    <t>* Autorización y procedimientos adecuados para el pago de dividendos</t>
  </si>
  <si>
    <t>* Comparación periódica de la suma de los auxiliares contra el saldo de la cuenta de mayor correspondiente..</t>
  </si>
  <si>
    <t>Si las cuentas no se indican las fuentes de las que se han derivado de reservas dar indicaciones si está disponible e indicar las restricciones conocidas sobre la distribución de las reservas.</t>
  </si>
  <si>
    <t>2. Examinar los artículos o escrituras de constitución como corporación, estatutos y actas, en lo referente a las disposiciones relacionadas con las acciones de capital.</t>
  </si>
  <si>
    <t>3. Obtener o preparar análisis de las cuentas de acciones de capital.</t>
  </si>
  <si>
    <t>4. Revisar la adecuada contabilización de todos los ingresos por emisión de acciones.</t>
  </si>
  <si>
    <t>5. Confirmar las acciones en circulación con el registrador independiente y con el agente de transferencia de acciones.</t>
  </si>
  <si>
    <t>6. Para una corporación que actúa como su propio registrador y agente de transferencia de acciones, conciliar los registros de los accionistas con el mayor general</t>
  </si>
  <si>
    <t>7. Determinar el cumplimiento de los planes de operación de acciones y de otras restricciones y preferencias relacionadas con las acciones de capital.</t>
  </si>
  <si>
    <t>Concluya en base a los objetivos de auditoría.</t>
  </si>
  <si>
    <t>CONCLUSIÓN DEL ÁREA</t>
  </si>
  <si>
    <t>3 A.N.G ADMINISTRACIÓN DE NEGOCIOS GERENCIALES CÍA. LTDA.</t>
  </si>
  <si>
    <t>300-1</t>
  </si>
  <si>
    <t>REPORTE DIARIO DE TRABAJO</t>
  </si>
  <si>
    <t>Final:</t>
  </si>
  <si>
    <t>GUIA:</t>
  </si>
  <si>
    <t xml:space="preserve">Integro/Reintegro </t>
  </si>
  <si>
    <t>EMPRESA:</t>
  </si>
  <si>
    <t>XXXXX</t>
  </si>
  <si>
    <t>ELABORADO POR:</t>
  </si>
  <si>
    <t>K.B.</t>
  </si>
  <si>
    <t>E.P.</t>
  </si>
  <si>
    <t>APROBADO POR:</t>
  </si>
  <si>
    <t>R.C.</t>
  </si>
  <si>
    <t>PERIODO :</t>
  </si>
  <si>
    <t>Desde el 01 de Enero 2023 al 31 de Diciembre del 2023</t>
  </si>
  <si>
    <t>ÁREA:</t>
  </si>
  <si>
    <t>(300) Patrimonio</t>
  </si>
  <si>
    <t>MONTO DEL ÁREA:</t>
  </si>
  <si>
    <t>CUENTA:</t>
  </si>
  <si>
    <t>CÓDIGO</t>
  </si>
  <si>
    <t>DESCRIPCIÓN</t>
  </si>
  <si>
    <t>VALOR</t>
  </si>
  <si>
    <t>3.1.3.1</t>
  </si>
  <si>
    <t>reserva legal</t>
  </si>
  <si>
    <t>MONTO DE CUENTA:</t>
  </si>
  <si>
    <t>ALCANCE:</t>
  </si>
  <si>
    <t>MATERIALIDAD:</t>
  </si>
  <si>
    <t>RIESGO:</t>
  </si>
  <si>
    <t>ALTO:</t>
  </si>
  <si>
    <t>MEDIO:</t>
  </si>
  <si>
    <t>(X)</t>
  </si>
  <si>
    <t>BAJO:</t>
  </si>
  <si>
    <t>TIPO DE PRUEBA:</t>
  </si>
  <si>
    <t>Análisis, Cumplimiento y Sustantivas</t>
  </si>
  <si>
    <t>Integridad y Exactitud</t>
  </si>
  <si>
    <t>TIEMPO ESTIMADO:</t>
  </si>
  <si>
    <t>HORAS</t>
  </si>
  <si>
    <t>¿¿</t>
  </si>
  <si>
    <t>NARRATIVA DE LA PRUEBA</t>
  </si>
  <si>
    <t>el patrimonio esta formado por un conjunto de bienes, derechos y obligaciones pertenecientes a una empresa, y que constituyen los medios economicos y financieros a traves de los cuales esta puede cumplir con sus fines.</t>
  </si>
  <si>
    <t xml:space="preserve">NIA </t>
  </si>
  <si>
    <t>NOMBRE NIA</t>
  </si>
  <si>
    <t>IMPUESTOS SOBRE LAS GANANCIAS</t>
  </si>
  <si>
    <t>¿¿¿¿</t>
  </si>
  <si>
    <t>NIA PARRAFO:</t>
  </si>
  <si>
    <t>El objetivo de esta norma consiste en establecer principios para la presentacion de los instrumentos financieros como pasivos o patrimonio neto, asi como para la compensacion de activos financieros y pasivos financieros. Esta norma sera aplicada por toodass las empresas, y a todos los tipos de instrumentos financieros, exepto aquellas participaciones en dependientes, asociados o negocios conjuntos que se contabilisen de acuerdo con la NIIF 10 y la NIC 27 0 28.</t>
  </si>
  <si>
    <t>PYMES, NIIF NIC:</t>
  </si>
  <si>
    <t>NIIF  PYMES:</t>
  </si>
  <si>
    <t>NIIF FULL:</t>
  </si>
  <si>
    <t>NORMA CONTAB.</t>
  </si>
  <si>
    <t>SECCION 22 PASIVOS Y PATIMONIO</t>
  </si>
  <si>
    <t>NIIF PYMES</t>
  </si>
  <si>
    <t>¿¿¿¿¿¿¿¿</t>
  </si>
  <si>
    <t>DETALLE SECCIÓN:</t>
  </si>
  <si>
    <t>La Sección 22 contempla el tratamiento contable de los instrumentos de patrimonio que son emitidos para individuos u otras partes que actúan en calidad de inversores en instrumentos de patrimonio (es decir, en calidad de propietarios), por ejemplo, las aportaciones de capital, las recompras por la entidad de sus propios instrumentos de patrimonio y los dividendos.
La NIIF para las PYMES define a los propietarios como tenedores de instrumentos clasificados como patrimonio. Por consiguiente, “un propietario” en una entidad es toda aquella parte que tenga un instrumento en dicha entidad al que esta clasifique como patrimonio. “Propietario” no hace referencia al propietario legal ni a la parte controladora de una entidad.</t>
  </si>
  <si>
    <t>NIC 32 INSTRUMENTOS FINANCIEROS</t>
  </si>
  <si>
    <t>NIIF COMPLETAS</t>
  </si>
  <si>
    <t>¿¿¿¿¿</t>
  </si>
  <si>
    <t>DETALLE NIIF:</t>
  </si>
  <si>
    <t xml:space="preserve">Los instrumentos financieros emitidos por la entidad que cumplan la definición de un instrumento de patrimonio de la NIC 32 (incluyendo opciones y certificados de opción para la suscripción de acciones) o que se requiera que sean clasificados como un instrumento de patrimonio de acuerdo con los párrafos 16A y 16B o los párrafos 16C y 16D de la NIC 32. No obstante, el tenedor de este instrumento de patrimonio aplicará esta Norma a esos instrumentos, a menos que cumplan la excepción mencionada en el apartado (a) anterior. </t>
  </si>
  <si>
    <t>Saldo inicial al 01 de enero del 2022</t>
  </si>
  <si>
    <t>saldo final 31 DE DICIEMBRE DE 2023</t>
  </si>
  <si>
    <t>AL 31 DE DICIEMBRE DE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</si>
</sst>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64" formatCode="_-* #,##0.00_-;\-* #,##0.00_-;_-* &quot;-&quot;??_-;_-@_-"/>
    <numFmt numFmtId="165" formatCode="\ #,##0.00\ ;\ \(#,##0.00\)"/>
    <numFmt numFmtId="166" formatCode="_(* #,##0.00_);_(* \(#,##0.00\);_(* &quot;-&quot;??_);_(@_)"/>
    <numFmt numFmtId="167" formatCode="_(&quot;$&quot;\ * #,##0.00_);_(&quot;$&quot;\ * \(#,##0.00\);_(&quot;$&quot;\ * &quot;-&quot;??_);_(@_)"/>
  </numFmts>
  <fonts count="39" x14ac:knownFonts="1">
    <font>
      <sz val="11"/>
      <color theme="1"/>
      <name val="Calibri"/>
      <family val="2"/>
      <scheme val="minor"/>
    </font>
    <font>
      <sz val="11"/>
      <color theme="1"/>
      <name val="Calibri"/>
      <family val="2"/>
      <scheme val="minor"/>
    </font>
    <font>
      <b/>
      <sz val="16"/>
      <color rgb="FFFF0000"/>
      <name val="Times New Roman"/>
      <family val="1"/>
    </font>
    <font>
      <sz val="10"/>
      <name val="MS Sans Serif"/>
    </font>
    <font>
      <b/>
      <sz val="11"/>
      <color theme="1"/>
      <name val="Calibri"/>
      <family val="2"/>
      <scheme val="minor"/>
    </font>
    <font>
      <b/>
      <sz val="11"/>
      <name val="Arial"/>
      <family val="2"/>
    </font>
    <font>
      <b/>
      <sz val="14"/>
      <color theme="1"/>
      <name val="Calibri"/>
      <family val="2"/>
      <scheme val="minor"/>
    </font>
    <font>
      <b/>
      <sz val="12"/>
      <name val="Arial"/>
      <family val="2"/>
    </font>
    <font>
      <b/>
      <sz val="10"/>
      <name val="Arial"/>
      <family val="2"/>
    </font>
    <font>
      <sz val="9"/>
      <color theme="1"/>
      <name val="Calibri"/>
      <family val="2"/>
      <scheme val="minor"/>
    </font>
    <font>
      <b/>
      <sz val="9"/>
      <color theme="1"/>
      <name val="Calibri"/>
      <family val="2"/>
      <scheme val="minor"/>
    </font>
    <font>
      <sz val="13"/>
      <color rgb="FFFF0000"/>
      <name val="Times New Roman"/>
      <family val="1"/>
    </font>
    <font>
      <sz val="16"/>
      <color rgb="FFFF0000"/>
      <name val="Times New Roman"/>
      <family val="1"/>
    </font>
    <font>
      <sz val="11"/>
      <color theme="1"/>
      <name val="Arial"/>
      <family val="2"/>
    </font>
    <font>
      <sz val="10"/>
      <name val="Arial"/>
      <family val="2"/>
    </font>
    <font>
      <b/>
      <sz val="11"/>
      <color rgb="FFFF0000"/>
      <name val="Arial"/>
      <family val="2"/>
    </font>
    <font>
      <sz val="12"/>
      <color theme="1"/>
      <name val="Calibri"/>
      <family val="2"/>
      <scheme val="minor"/>
    </font>
    <font>
      <b/>
      <sz val="16"/>
      <color rgb="FF002060"/>
      <name val="Cambria"/>
      <family val="2"/>
      <scheme val="major"/>
    </font>
    <font>
      <b/>
      <sz val="30"/>
      <color rgb="FFFF0000"/>
      <name val="Arial Black"/>
      <family val="2"/>
    </font>
    <font>
      <b/>
      <sz val="14"/>
      <color rgb="FF002060"/>
      <name val="Cambria"/>
      <family val="2"/>
      <scheme val="major"/>
    </font>
    <font>
      <sz val="12"/>
      <color theme="1"/>
      <name val="Times New Roman"/>
      <family val="1"/>
    </font>
    <font>
      <b/>
      <sz val="12"/>
      <name val="Times New Roman"/>
      <family val="1"/>
    </font>
    <font>
      <b/>
      <sz val="12"/>
      <color theme="1"/>
      <name val="Times New Roman"/>
      <family val="1"/>
    </font>
    <font>
      <b/>
      <sz val="12"/>
      <color rgb="FFFF0000"/>
      <name val="Times New Roman"/>
      <family val="1"/>
    </font>
    <font>
      <i/>
      <sz val="10"/>
      <color theme="1"/>
      <name val="Cambria"/>
      <family val="2"/>
      <scheme val="major"/>
    </font>
    <font>
      <sz val="11"/>
      <color theme="1"/>
      <name val="Times New Roman"/>
      <family val="1"/>
    </font>
    <font>
      <sz val="12"/>
      <name val="Times New Roman"/>
      <family val="1"/>
    </font>
    <font>
      <b/>
      <sz val="11"/>
      <color theme="1"/>
      <name val="Times New Roman"/>
      <family val="1"/>
    </font>
    <font>
      <b/>
      <u/>
      <sz val="10"/>
      <color rgb="FFFF0000"/>
      <name val="Times New Roman"/>
      <family val="1"/>
    </font>
    <font>
      <sz val="10"/>
      <color theme="1"/>
      <name val="Times New Roman"/>
      <family val="1"/>
    </font>
    <font>
      <b/>
      <sz val="10"/>
      <color rgb="FFFF0000"/>
      <name val="Times New Roman"/>
      <family val="1"/>
    </font>
    <font>
      <sz val="11"/>
      <color rgb="FFFF0000"/>
      <name val="Arial"/>
      <family val="2"/>
    </font>
    <font>
      <sz val="10"/>
      <name val="Times New Roman"/>
      <family val="1"/>
    </font>
    <font>
      <b/>
      <u/>
      <sz val="10"/>
      <name val="Times New Roman"/>
      <family val="1"/>
    </font>
    <font>
      <b/>
      <sz val="10"/>
      <color theme="1"/>
      <name val="Times New Roman"/>
      <family val="1"/>
    </font>
    <font>
      <b/>
      <sz val="15"/>
      <name val="Times New Roman"/>
      <family val="1"/>
    </font>
    <font>
      <sz val="12"/>
      <color indexed="62"/>
      <name val="Times New Roman"/>
      <family val="1"/>
    </font>
    <font>
      <b/>
      <u/>
      <sz val="12"/>
      <name val="Times New Roman"/>
      <family val="1"/>
    </font>
    <font>
      <sz val="12"/>
      <color rgb="FFFF0000"/>
      <name val="Times New Roman"/>
      <family val="1"/>
    </font>
  </fonts>
  <fills count="4">
    <fill>
      <patternFill patternType="none"/>
    </fill>
    <fill>
      <patternFill patternType="gray125"/>
    </fill>
    <fill>
      <patternFill patternType="solid">
        <fgColor rgb="FFFFFF00"/>
        <bgColor indexed="64"/>
      </patternFill>
    </fill>
    <fill>
      <patternFill patternType="solid">
        <fgColor rgb="FFFF0066"/>
        <bgColor indexed="64"/>
      </patternFill>
    </fill>
  </fills>
  <borders count="44">
    <border>
      <left/>
      <right/>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diagonal/>
    </border>
    <border>
      <left style="medium">
        <color indexed="64"/>
      </left>
      <right style="medium">
        <color indexed="64"/>
      </right>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s>
  <cellStyleXfs count="11">
    <xf numFmtId="0" fontId="0" fillId="0" borderId="0"/>
    <xf numFmtId="164" fontId="1" fillId="0" borderId="0" applyFont="0" applyFill="0" applyBorder="0" applyAlignment="0" applyProtection="0"/>
    <xf numFmtId="0" fontId="1" fillId="0" borderId="0"/>
    <xf numFmtId="0" fontId="3" fillId="0" borderId="0"/>
    <xf numFmtId="0" fontId="14" fillId="0" borderId="0"/>
    <xf numFmtId="0" fontId="1" fillId="0" borderId="0"/>
    <xf numFmtId="9" fontId="1" fillId="0" borderId="0" applyFont="0" applyFill="0" applyBorder="0" applyAlignment="0" applyProtection="0"/>
    <xf numFmtId="0" fontId="14" fillId="0" borderId="0"/>
    <xf numFmtId="0" fontId="14" fillId="0" borderId="0"/>
    <xf numFmtId="166" fontId="1" fillId="0" borderId="0" applyFont="0" applyFill="0" applyBorder="0" applyAlignment="0" applyProtection="0"/>
    <xf numFmtId="167" fontId="1" fillId="0" borderId="0" applyFont="0" applyFill="0" applyBorder="0" applyAlignment="0" applyProtection="0"/>
  </cellStyleXfs>
  <cellXfs count="261">
    <xf numFmtId="0" fontId="0" fillId="0" borderId="0" xfId="0"/>
    <xf numFmtId="164" fontId="2" fillId="0" borderId="0" xfId="1" applyFont="1" applyBorder="1"/>
    <xf numFmtId="164" fontId="0" fillId="0" borderId="0" xfId="1" applyFont="1"/>
    <xf numFmtId="0" fontId="8" fillId="0" borderId="10" xfId="0" applyFont="1" applyBorder="1"/>
    <xf numFmtId="0" fontId="9" fillId="0" borderId="0" xfId="0" applyFont="1"/>
    <xf numFmtId="0" fontId="0" fillId="0" borderId="10" xfId="0" applyBorder="1"/>
    <xf numFmtId="0" fontId="0" fillId="0" borderId="8" xfId="0" applyBorder="1"/>
    <xf numFmtId="0" fontId="0" fillId="0" borderId="11" xfId="0" applyBorder="1"/>
    <xf numFmtId="0" fontId="0" fillId="0" borderId="12" xfId="0" applyBorder="1"/>
    <xf numFmtId="0" fontId="0" fillId="0" borderId="9" xfId="0" applyBorder="1"/>
    <xf numFmtId="0" fontId="10" fillId="0" borderId="0" xfId="0" applyFont="1"/>
    <xf numFmtId="1" fontId="0" fillId="0" borderId="1" xfId="0" applyNumberFormat="1" applyBorder="1" applyAlignment="1">
      <alignment horizontal="center"/>
    </xf>
    <xf numFmtId="1" fontId="0" fillId="0" borderId="2" xfId="0" applyNumberFormat="1" applyBorder="1" applyAlignment="1">
      <alignment horizontal="center"/>
    </xf>
    <xf numFmtId="0" fontId="4" fillId="0" borderId="0" xfId="0" applyFont="1" applyAlignment="1">
      <alignment horizontal="center" vertical="center"/>
    </xf>
    <xf numFmtId="49" fontId="0" fillId="0" borderId="5" xfId="0" applyNumberFormat="1" applyBorder="1" applyAlignment="1">
      <alignment horizontal="center" vertical="center" wrapText="1"/>
    </xf>
    <xf numFmtId="49" fontId="0" fillId="0" borderId="12" xfId="0" applyNumberFormat="1" applyBorder="1" applyAlignment="1">
      <alignment horizontal="center" vertical="center" wrapText="1"/>
    </xf>
    <xf numFmtId="0" fontId="4" fillId="0" borderId="0" xfId="0" applyFont="1" applyAlignment="1">
      <alignment horizontal="center" vertical="center" wrapText="1"/>
    </xf>
    <xf numFmtId="164" fontId="4" fillId="0" borderId="14" xfId="1" applyFont="1" applyBorder="1"/>
    <xf numFmtId="164" fontId="0" fillId="0" borderId="0" xfId="0" applyNumberFormat="1"/>
    <xf numFmtId="4" fontId="0" fillId="0" borderId="0" xfId="0" applyNumberFormat="1"/>
    <xf numFmtId="164" fontId="4" fillId="0" borderId="15" xfId="1" applyFont="1" applyBorder="1" applyAlignment="1">
      <alignment vertical="center"/>
    </xf>
    <xf numFmtId="164" fontId="4" fillId="0" borderId="2" xfId="1" applyFont="1" applyBorder="1" applyAlignment="1">
      <alignment vertical="center"/>
    </xf>
    <xf numFmtId="0" fontId="0" fillId="0" borderId="0" xfId="0" applyAlignment="1">
      <alignment vertical="center"/>
    </xf>
    <xf numFmtId="164" fontId="0" fillId="0" borderId="0" xfId="1" applyFont="1" applyAlignment="1">
      <alignment vertical="center"/>
    </xf>
    <xf numFmtId="166" fontId="0" fillId="0" borderId="0" xfId="0" applyNumberFormat="1" applyAlignment="1">
      <alignment vertical="center"/>
    </xf>
    <xf numFmtId="0" fontId="4" fillId="0" borderId="0" xfId="0" applyFont="1"/>
    <xf numFmtId="166" fontId="4" fillId="0" borderId="0" xfId="0" applyNumberFormat="1" applyFont="1"/>
    <xf numFmtId="165" fontId="4" fillId="0" borderId="0" xfId="0" applyNumberFormat="1" applyFont="1"/>
    <xf numFmtId="0" fontId="0" fillId="0" borderId="0" xfId="0" applyAlignment="1">
      <alignment horizontal="left"/>
    </xf>
    <xf numFmtId="0" fontId="0" fillId="0" borderId="0" xfId="0" applyAlignment="1">
      <alignment horizontal="justify" wrapText="1"/>
    </xf>
    <xf numFmtId="164" fontId="12" fillId="0" borderId="0" xfId="1" applyFont="1" applyBorder="1"/>
    <xf numFmtId="49" fontId="0" fillId="0" borderId="2" xfId="0" applyNumberFormat="1" applyBorder="1" applyAlignment="1">
      <alignment horizontal="center" vertical="center" wrapText="1"/>
    </xf>
    <xf numFmtId="43" fontId="0" fillId="0" borderId="0" xfId="0" applyNumberFormat="1"/>
    <xf numFmtId="0" fontId="8" fillId="0" borderId="4" xfId="0" applyFont="1" applyBorder="1" applyAlignment="1">
      <alignment horizontal="center" vertical="center"/>
    </xf>
    <xf numFmtId="4" fontId="0" fillId="0" borderId="14" xfId="0" applyNumberFormat="1" applyBorder="1" applyAlignment="1">
      <alignment horizontal="justify" wrapText="1"/>
    </xf>
    <xf numFmtId="4" fontId="0" fillId="0" borderId="14" xfId="0" applyNumberFormat="1" applyBorder="1"/>
    <xf numFmtId="0" fontId="0" fillId="0" borderId="14" xfId="2" applyFont="1" applyBorder="1"/>
    <xf numFmtId="0" fontId="0" fillId="0" borderId="14" xfId="0" applyBorder="1"/>
    <xf numFmtId="0" fontId="8" fillId="0" borderId="2" xfId="0" applyFont="1" applyBorder="1" applyAlignment="1">
      <alignment horizontal="center" vertical="center" wrapText="1"/>
    </xf>
    <xf numFmtId="0" fontId="0" fillId="0" borderId="2" xfId="0" applyBorder="1" applyAlignment="1">
      <alignment vertical="center" wrapText="1"/>
    </xf>
    <xf numFmtId="0" fontId="0" fillId="0" borderId="12" xfId="0" applyFont="1" applyBorder="1" applyAlignment="1">
      <alignment horizontal="left"/>
    </xf>
    <xf numFmtId="0" fontId="0" fillId="0" borderId="3" xfId="0" applyFont="1" applyBorder="1" applyAlignment="1">
      <alignment horizontal="left"/>
    </xf>
    <xf numFmtId="0" fontId="0" fillId="0" borderId="0" xfId="0" applyBorder="1" applyAlignment="1">
      <alignment wrapText="1"/>
    </xf>
    <xf numFmtId="0" fontId="0" fillId="0" borderId="0" xfId="0" applyBorder="1"/>
    <xf numFmtId="0" fontId="10" fillId="0" borderId="0" xfId="0" applyFont="1" applyBorder="1"/>
    <xf numFmtId="0" fontId="4" fillId="0" borderId="0" xfId="0" applyFont="1" applyBorder="1"/>
    <xf numFmtId="14" fontId="0" fillId="0" borderId="9" xfId="0" applyNumberFormat="1" applyBorder="1"/>
    <xf numFmtId="14" fontId="0" fillId="0" borderId="16" xfId="0" applyNumberFormat="1" applyBorder="1"/>
    <xf numFmtId="164" fontId="0" fillId="0" borderId="0" xfId="1" applyFont="1" applyAlignment="1">
      <alignment horizontal="left"/>
    </xf>
    <xf numFmtId="0" fontId="0" fillId="0" borderId="0" xfId="0" applyFont="1"/>
    <xf numFmtId="0" fontId="13" fillId="0" borderId="0" xfId="0" applyFont="1"/>
    <xf numFmtId="164" fontId="0" fillId="0" borderId="13" xfId="1" applyFont="1" applyBorder="1"/>
    <xf numFmtId="164" fontId="0" fillId="0" borderId="10" xfId="1" applyFont="1" applyBorder="1"/>
    <xf numFmtId="164" fontId="0" fillId="0" borderId="11" xfId="1" applyFont="1" applyBorder="1"/>
    <xf numFmtId="164" fontId="0" fillId="0" borderId="4" xfId="1" applyFont="1" applyBorder="1"/>
    <xf numFmtId="164" fontId="0" fillId="0" borderId="14" xfId="1" applyFont="1" applyBorder="1"/>
    <xf numFmtId="164" fontId="0" fillId="0" borderId="5" xfId="1" applyFont="1" applyBorder="1"/>
    <xf numFmtId="164" fontId="0" fillId="0" borderId="6" xfId="1" applyFont="1" applyBorder="1"/>
    <xf numFmtId="164" fontId="0" fillId="0" borderId="0" xfId="1" applyFont="1" applyBorder="1"/>
    <xf numFmtId="164" fontId="0" fillId="0" borderId="12" xfId="1" applyFont="1" applyBorder="1"/>
    <xf numFmtId="164" fontId="11" fillId="0" borderId="14" xfId="1" applyFont="1" applyBorder="1"/>
    <xf numFmtId="0" fontId="15" fillId="0" borderId="0" xfId="0" applyFont="1"/>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5" fillId="0" borderId="13" xfId="0" applyFont="1" applyBorder="1" applyAlignment="1">
      <alignment horizontal="center"/>
    </xf>
    <xf numFmtId="0" fontId="5" fillId="0" borderId="6" xfId="0" applyFont="1" applyBorder="1" applyAlignment="1">
      <alignment horizontal="center"/>
    </xf>
    <xf numFmtId="0" fontId="5" fillId="0" borderId="7" xfId="0" applyFont="1" applyBorder="1" applyAlignment="1">
      <alignment horizontal="center"/>
    </xf>
    <xf numFmtId="0" fontId="6" fillId="0" borderId="10" xfId="0" applyFont="1" applyBorder="1" applyAlignment="1">
      <alignment horizontal="center"/>
    </xf>
    <xf numFmtId="0" fontId="6" fillId="0" borderId="0" xfId="0" applyFont="1" applyBorder="1" applyAlignment="1">
      <alignment horizontal="center"/>
    </xf>
    <xf numFmtId="0" fontId="6" fillId="0" borderId="8" xfId="0" applyFont="1" applyBorder="1" applyAlignment="1">
      <alignment horizontal="center"/>
    </xf>
    <xf numFmtId="0" fontId="8" fillId="0" borderId="10" xfId="0" applyFont="1" applyBorder="1" applyAlignment="1">
      <alignment horizontal="center"/>
    </xf>
    <xf numFmtId="0" fontId="8" fillId="0" borderId="0" xfId="0" applyFont="1" applyBorder="1" applyAlignment="1">
      <alignment horizontal="center"/>
    </xf>
    <xf numFmtId="0" fontId="8" fillId="0" borderId="8" xfId="0" applyFont="1" applyBorder="1" applyAlignment="1">
      <alignment horizontal="center"/>
    </xf>
    <xf numFmtId="0" fontId="7" fillId="2" borderId="10" xfId="0" applyFont="1" applyFill="1" applyBorder="1" applyAlignment="1">
      <alignment horizontal="center"/>
    </xf>
    <xf numFmtId="0" fontId="7" fillId="2" borderId="0" xfId="0" applyFont="1" applyFill="1" applyBorder="1" applyAlignment="1">
      <alignment horizontal="center"/>
    </xf>
    <xf numFmtId="0" fontId="7" fillId="2" borderId="8" xfId="0" applyFont="1" applyFill="1" applyBorder="1" applyAlignment="1">
      <alignment horizontal="center"/>
    </xf>
    <xf numFmtId="0" fontId="16" fillId="0" borderId="0" xfId="0" applyFont="1" applyAlignment="1">
      <alignment textRotation="255"/>
    </xf>
    <xf numFmtId="0" fontId="17" fillId="0" borderId="0" xfId="0" applyFont="1" applyAlignment="1">
      <alignment horizontal="center"/>
    </xf>
    <xf numFmtId="0" fontId="18" fillId="0" borderId="4" xfId="0" applyFont="1" applyBorder="1" applyAlignment="1">
      <alignment horizontal="center" vertical="center"/>
    </xf>
    <xf numFmtId="0" fontId="19" fillId="0" borderId="0" xfId="0" applyFont="1" applyAlignment="1">
      <alignment horizontal="center"/>
    </xf>
    <xf numFmtId="0" fontId="4" fillId="0" borderId="0" xfId="0" applyFont="1" applyAlignment="1">
      <alignment horizontal="right"/>
    </xf>
    <xf numFmtId="0" fontId="18" fillId="0" borderId="14" xfId="0" applyFont="1" applyBorder="1" applyAlignment="1">
      <alignment horizontal="center" vertical="center"/>
    </xf>
    <xf numFmtId="0" fontId="20" fillId="0" borderId="0" xfId="0" applyFont="1" applyAlignment="1">
      <alignment textRotation="255"/>
    </xf>
    <xf numFmtId="0" fontId="21" fillId="0" borderId="0" xfId="7" applyFont="1"/>
    <xf numFmtId="0" fontId="20" fillId="0" borderId="0" xfId="0" applyFont="1"/>
    <xf numFmtId="0" fontId="18" fillId="0" borderId="5" xfId="0" applyFont="1" applyBorder="1" applyAlignment="1">
      <alignment horizontal="center" vertical="center"/>
    </xf>
    <xf numFmtId="0" fontId="22" fillId="0" borderId="0" xfId="0" applyFont="1" applyAlignment="1">
      <alignment horizontal="center"/>
    </xf>
    <xf numFmtId="0" fontId="22" fillId="0" borderId="0" xfId="0" applyFont="1" applyAlignment="1">
      <alignment horizontal="center"/>
    </xf>
    <xf numFmtId="0" fontId="22" fillId="0" borderId="0" xfId="0" applyFont="1"/>
    <xf numFmtId="0" fontId="23" fillId="0" borderId="0" xfId="0" applyFont="1" applyAlignment="1">
      <alignment horizontal="center"/>
    </xf>
    <xf numFmtId="0" fontId="23" fillId="0" borderId="0" xfId="0" applyFont="1" applyAlignment="1">
      <alignment horizontal="center"/>
    </xf>
    <xf numFmtId="0" fontId="24" fillId="0" borderId="4" xfId="0" applyFont="1" applyBorder="1" applyAlignment="1">
      <alignment horizontal="right"/>
    </xf>
    <xf numFmtId="14" fontId="25" fillId="0" borderId="0" xfId="0" applyNumberFormat="1" applyFont="1" applyAlignment="1">
      <alignment horizontal="center"/>
    </xf>
    <xf numFmtId="0" fontId="25" fillId="0" borderId="0" xfId="0" applyFont="1" applyAlignment="1">
      <alignment horizontal="center"/>
    </xf>
    <xf numFmtId="0" fontId="23" fillId="0" borderId="14" xfId="0" applyFont="1" applyBorder="1" applyAlignment="1">
      <alignment horizontal="center"/>
    </xf>
    <xf numFmtId="0" fontId="20" fillId="0" borderId="5" xfId="0" applyFont="1" applyBorder="1"/>
    <xf numFmtId="0" fontId="21" fillId="0" borderId="0" xfId="7" applyFont="1" applyAlignment="1">
      <alignment horizontal="left" vertical="center"/>
    </xf>
    <xf numFmtId="0" fontId="25" fillId="0" borderId="0" xfId="0" applyFont="1" applyAlignment="1">
      <alignment horizontal="justify" vertical="justify"/>
    </xf>
    <xf numFmtId="0" fontId="20" fillId="0" borderId="0" xfId="0" applyFont="1" applyAlignment="1">
      <alignment horizontal="justify" vertical="justify"/>
    </xf>
    <xf numFmtId="0" fontId="26" fillId="0" borderId="0" xfId="0" applyFont="1" applyAlignment="1">
      <alignment textRotation="255" wrapText="1"/>
    </xf>
    <xf numFmtId="0" fontId="21" fillId="0" borderId="0" xfId="7" applyFont="1" applyAlignment="1">
      <alignment horizontal="left" vertical="center"/>
    </xf>
    <xf numFmtId="0" fontId="27" fillId="0" borderId="0" xfId="0" applyFont="1" applyAlignment="1">
      <alignment horizontal="justify" vertical="justify"/>
    </xf>
    <xf numFmtId="0" fontId="25" fillId="0" borderId="0" xfId="0" applyFont="1" applyAlignment="1">
      <alignment horizontal="justify" vertical="justify"/>
    </xf>
    <xf numFmtId="0" fontId="28" fillId="0" borderId="0" xfId="0" applyFont="1" applyAlignment="1">
      <alignment horizontal="center"/>
    </xf>
    <xf numFmtId="0" fontId="29" fillId="0" borderId="0" xfId="0" applyFont="1"/>
    <xf numFmtId="0" fontId="30" fillId="0" borderId="0" xfId="0" applyFont="1"/>
    <xf numFmtId="0" fontId="30" fillId="0" borderId="0" xfId="0" applyFont="1" applyAlignment="1">
      <alignment horizontal="right"/>
    </xf>
    <xf numFmtId="0" fontId="31" fillId="0" borderId="0" xfId="0" applyFont="1"/>
    <xf numFmtId="0" fontId="30" fillId="0" borderId="0" xfId="8" applyFont="1" applyAlignment="1">
      <alignment horizontal="right" vertical="top" wrapText="1"/>
    </xf>
    <xf numFmtId="0" fontId="32" fillId="0" borderId="0" xfId="0" applyFont="1"/>
    <xf numFmtId="0" fontId="33" fillId="0" borderId="0" xfId="0" applyFont="1"/>
    <xf numFmtId="0" fontId="34" fillId="0" borderId="0" xfId="0" applyFont="1"/>
    <xf numFmtId="49" fontId="30" fillId="0" borderId="0" xfId="8" applyNumberFormat="1" applyFont="1" applyAlignment="1">
      <alignment horizontal="right" vertical="top" wrapText="1"/>
    </xf>
    <xf numFmtId="0" fontId="29" fillId="0" borderId="0" xfId="0" applyFont="1" applyAlignment="1">
      <alignment textRotation="255"/>
    </xf>
    <xf numFmtId="0" fontId="22" fillId="0" borderId="17" xfId="0" applyFont="1" applyBorder="1" applyAlignment="1">
      <alignment horizontal="center" vertical="center"/>
    </xf>
    <xf numFmtId="0" fontId="22" fillId="0" borderId="18" xfId="0" applyFont="1" applyBorder="1" applyAlignment="1">
      <alignment horizontal="center" vertical="center"/>
    </xf>
    <xf numFmtId="0" fontId="22" fillId="0" borderId="19" xfId="0" applyFont="1" applyBorder="1" applyAlignment="1">
      <alignment horizontal="center" vertical="center"/>
    </xf>
    <xf numFmtId="0" fontId="22" fillId="0" borderId="20" xfId="0" applyFont="1" applyBorder="1" applyAlignment="1">
      <alignment horizontal="center" vertical="center"/>
    </xf>
    <xf numFmtId="0" fontId="27" fillId="0" borderId="17" xfId="0" applyFont="1" applyBorder="1" applyAlignment="1">
      <alignment horizontal="center" vertical="center" wrapText="1"/>
    </xf>
    <xf numFmtId="0" fontId="27" fillId="0" borderId="18" xfId="0" applyFont="1" applyBorder="1" applyAlignment="1">
      <alignment horizontal="center" vertical="center" wrapText="1"/>
    </xf>
    <xf numFmtId="0" fontId="22" fillId="0" borderId="21" xfId="0" applyFont="1" applyBorder="1" applyAlignment="1">
      <alignment horizontal="center" vertical="center"/>
    </xf>
    <xf numFmtId="0" fontId="22" fillId="0" borderId="22" xfId="0" applyFont="1" applyBorder="1" applyAlignment="1">
      <alignment horizontal="center" vertical="center"/>
    </xf>
    <xf numFmtId="0" fontId="22" fillId="0" borderId="23" xfId="0" applyFont="1" applyBorder="1" applyAlignment="1">
      <alignment horizontal="center" vertical="center"/>
    </xf>
    <xf numFmtId="0" fontId="23" fillId="0" borderId="24" xfId="0" applyFont="1" applyBorder="1" applyAlignment="1">
      <alignment vertical="center"/>
    </xf>
    <xf numFmtId="0" fontId="23" fillId="0" borderId="25" xfId="0" applyFont="1" applyBorder="1" applyAlignment="1">
      <alignment vertical="center"/>
    </xf>
    <xf numFmtId="0" fontId="27" fillId="0" borderId="22" xfId="0" applyFont="1" applyBorder="1" applyAlignment="1">
      <alignment horizontal="center" vertical="center" wrapText="1"/>
    </xf>
    <xf numFmtId="0" fontId="27" fillId="0" borderId="23" xfId="0" applyFont="1" applyBorder="1" applyAlignment="1">
      <alignment horizontal="center" vertical="center" wrapText="1"/>
    </xf>
    <xf numFmtId="0" fontId="22" fillId="0" borderId="26" xfId="0" applyFont="1" applyBorder="1" applyAlignment="1">
      <alignment horizontal="center" vertical="center"/>
    </xf>
    <xf numFmtId="0" fontId="20" fillId="0" borderId="27" xfId="0" applyFont="1" applyBorder="1" applyAlignment="1">
      <alignment horizontal="left" vertical="justify"/>
    </xf>
    <xf numFmtId="0" fontId="22" fillId="0" borderId="21" xfId="0" applyFont="1" applyBorder="1" applyAlignment="1">
      <alignment horizontal="left" vertical="justify"/>
    </xf>
    <xf numFmtId="0" fontId="23" fillId="0" borderId="28" xfId="0" applyFont="1" applyBorder="1" applyAlignment="1">
      <alignment horizontal="center" vertical="center"/>
    </xf>
    <xf numFmtId="0" fontId="23" fillId="0" borderId="29" xfId="0" applyFont="1" applyBorder="1" applyAlignment="1">
      <alignment horizontal="center" vertical="center"/>
    </xf>
    <xf numFmtId="0" fontId="23" fillId="0" borderId="30" xfId="0" applyFont="1" applyBorder="1" applyAlignment="1">
      <alignment horizontal="center" vertical="center"/>
    </xf>
    <xf numFmtId="0" fontId="22" fillId="0" borderId="31" xfId="0" applyFont="1" applyBorder="1" applyAlignment="1">
      <alignment horizontal="center" vertical="center" wrapText="1"/>
    </xf>
    <xf numFmtId="0" fontId="20" fillId="0" borderId="32" xfId="0" applyFont="1" applyBorder="1"/>
    <xf numFmtId="0" fontId="20" fillId="0" borderId="33" xfId="0" applyFont="1" applyBorder="1" applyAlignment="1">
      <alignment horizontal="justify" vertical="justify"/>
    </xf>
    <xf numFmtId="0" fontId="20" fillId="0" borderId="32" xfId="0" applyFont="1" applyBorder="1" applyAlignment="1">
      <alignment horizontal="justify" vertical="justify"/>
    </xf>
    <xf numFmtId="0" fontId="20" fillId="0" borderId="34" xfId="0" applyFont="1" applyBorder="1" applyAlignment="1">
      <alignment horizontal="center"/>
    </xf>
    <xf numFmtId="0" fontId="20" fillId="0" borderId="35" xfId="0" applyFont="1" applyBorder="1" applyAlignment="1">
      <alignment horizontal="center"/>
    </xf>
    <xf numFmtId="0" fontId="23" fillId="0" borderId="36" xfId="0" applyFont="1" applyBorder="1" applyAlignment="1">
      <alignment horizontal="center"/>
    </xf>
    <xf numFmtId="0" fontId="23" fillId="0" borderId="37" xfId="0" applyFont="1" applyBorder="1" applyAlignment="1">
      <alignment horizontal="center"/>
    </xf>
    <xf numFmtId="0" fontId="20" fillId="0" borderId="37" xfId="0" applyFont="1" applyBorder="1" applyAlignment="1">
      <alignment horizontal="center"/>
    </xf>
    <xf numFmtId="0" fontId="20" fillId="0" borderId="36" xfId="0" applyFont="1" applyBorder="1" applyAlignment="1">
      <alignment horizontal="center"/>
    </xf>
    <xf numFmtId="0" fontId="22" fillId="0" borderId="33" xfId="0" applyFont="1" applyBorder="1" applyAlignment="1">
      <alignment horizontal="justify" vertical="justify"/>
    </xf>
    <xf numFmtId="0" fontId="22" fillId="0" borderId="32" xfId="0" applyFont="1" applyBorder="1" applyAlignment="1">
      <alignment horizontal="justify" vertical="justify"/>
    </xf>
    <xf numFmtId="0" fontId="22" fillId="0" borderId="0" xfId="0" applyFont="1" applyAlignment="1">
      <alignment textRotation="255"/>
    </xf>
    <xf numFmtId="0" fontId="22" fillId="2" borderId="33" xfId="0" applyFont="1" applyFill="1" applyBorder="1" applyAlignment="1">
      <alignment horizontal="justify" vertical="justify"/>
    </xf>
    <xf numFmtId="0" fontId="22" fillId="2" borderId="32" xfId="0" applyFont="1" applyFill="1" applyBorder="1" applyAlignment="1">
      <alignment horizontal="justify" vertical="justify"/>
    </xf>
    <xf numFmtId="0" fontId="22" fillId="0" borderId="34" xfId="0" applyFont="1" applyBorder="1" applyAlignment="1">
      <alignment horizontal="center"/>
    </xf>
    <xf numFmtId="0" fontId="22" fillId="0" borderId="35" xfId="0" applyFont="1" applyBorder="1" applyAlignment="1">
      <alignment horizontal="center"/>
    </xf>
    <xf numFmtId="0" fontId="22" fillId="0" borderId="37" xfId="0" applyFont="1" applyBorder="1" applyAlignment="1">
      <alignment horizontal="center"/>
    </xf>
    <xf numFmtId="0" fontId="20" fillId="0" borderId="22" xfId="0" applyFont="1" applyBorder="1" applyAlignment="1">
      <alignment horizontal="justify" vertical="justify"/>
    </xf>
    <xf numFmtId="0" fontId="20" fillId="0" borderId="23" xfId="0" applyFont="1" applyBorder="1" applyAlignment="1">
      <alignment horizontal="justify" vertical="justify"/>
    </xf>
    <xf numFmtId="0" fontId="20" fillId="0" borderId="24" xfId="0" applyFont="1" applyBorder="1"/>
    <xf numFmtId="0" fontId="20" fillId="0" borderId="25" xfId="0" applyFont="1" applyBorder="1"/>
    <xf numFmtId="0" fontId="20" fillId="0" borderId="22" xfId="0" applyFont="1" applyBorder="1"/>
    <xf numFmtId="0" fontId="20" fillId="0" borderId="23" xfId="0" applyFont="1" applyBorder="1"/>
    <xf numFmtId="0" fontId="22" fillId="0" borderId="0" xfId="0" applyFont="1" applyAlignment="1">
      <alignment horizontal="justify" vertical="justify"/>
    </xf>
    <xf numFmtId="0" fontId="20" fillId="0" borderId="1" xfId="0" applyFont="1" applyBorder="1" applyAlignment="1">
      <alignment horizontal="center"/>
    </xf>
    <xf numFmtId="0" fontId="20" fillId="0" borderId="3" xfId="0" applyFont="1" applyBorder="1" applyAlignment="1">
      <alignment horizontal="center"/>
    </xf>
    <xf numFmtId="0" fontId="20" fillId="0" borderId="16" xfId="0" applyFont="1" applyBorder="1" applyAlignment="1">
      <alignment horizontal="center"/>
    </xf>
    <xf numFmtId="0" fontId="20" fillId="2" borderId="0" xfId="0" applyFont="1" applyFill="1"/>
    <xf numFmtId="0" fontId="0" fillId="2" borderId="0" xfId="0" applyFill="1"/>
    <xf numFmtId="0" fontId="26" fillId="0" borderId="0" xfId="7" applyFont="1" applyAlignment="1">
      <alignment vertical="top" textRotation="255" wrapText="1"/>
    </xf>
    <xf numFmtId="0" fontId="26" fillId="0" borderId="13" xfId="7" applyFont="1" applyBorder="1" applyAlignment="1">
      <alignment horizontal="left" vertical="center"/>
    </xf>
    <xf numFmtId="0" fontId="35" fillId="0" borderId="6" xfId="0" applyFont="1" applyBorder="1" applyAlignment="1">
      <alignment horizontal="center" wrapText="1"/>
    </xf>
    <xf numFmtId="0" fontId="2" fillId="0" borderId="4" xfId="0" applyFont="1" applyBorder="1" applyAlignment="1">
      <alignment horizontal="center" vertical="center" wrapText="1"/>
    </xf>
    <xf numFmtId="0" fontId="36" fillId="0" borderId="0" xfId="0" applyFont="1" applyAlignment="1">
      <alignment horizontal="center" wrapText="1"/>
    </xf>
    <xf numFmtId="0" fontId="36" fillId="0" borderId="0" xfId="0" applyFont="1" applyAlignment="1">
      <alignment wrapText="1"/>
    </xf>
    <xf numFmtId="0" fontId="26" fillId="0" borderId="0" xfId="7" applyFont="1" applyAlignment="1">
      <alignment wrapText="1"/>
    </xf>
    <xf numFmtId="0" fontId="26" fillId="0" borderId="11" xfId="7" applyFont="1" applyBorder="1" applyAlignment="1">
      <alignment horizontal="left" vertical="center"/>
    </xf>
    <xf numFmtId="0" fontId="21" fillId="0" borderId="12" xfId="0" applyFont="1" applyBorder="1" applyAlignment="1">
      <alignment horizontal="center" wrapText="1"/>
    </xf>
    <xf numFmtId="0" fontId="2" fillId="0" borderId="5" xfId="0" applyFont="1" applyBorder="1" applyAlignment="1">
      <alignment horizontal="center" vertical="center" wrapText="1"/>
    </xf>
    <xf numFmtId="0" fontId="21" fillId="0" borderId="0" xfId="0" applyFont="1" applyAlignment="1">
      <alignment horizontal="center" wrapText="1"/>
    </xf>
    <xf numFmtId="0" fontId="23" fillId="0" borderId="0" xfId="7" applyFont="1" applyAlignment="1">
      <alignment horizontal="center" wrapText="1"/>
    </xf>
    <xf numFmtId="0" fontId="21" fillId="0" borderId="0" xfId="7" applyFont="1" applyAlignment="1">
      <alignment wrapText="1"/>
    </xf>
    <xf numFmtId="0" fontId="20" fillId="0" borderId="0" xfId="0" applyFont="1" applyAlignment="1">
      <alignment vertical="top" textRotation="255"/>
    </xf>
    <xf numFmtId="0" fontId="37" fillId="0" borderId="38" xfId="7" applyFont="1" applyBorder="1" applyAlignment="1">
      <alignment horizontal="left" vertical="center"/>
    </xf>
    <xf numFmtId="0" fontId="21" fillId="0" borderId="17" xfId="7" applyFont="1" applyBorder="1" applyAlignment="1">
      <alignment horizontal="left" vertical="center"/>
    </xf>
    <xf numFmtId="14" fontId="21" fillId="0" borderId="20" xfId="7" applyNumberFormat="1" applyFont="1" applyBorder="1" applyAlignment="1">
      <alignment horizontal="justify" vertical="justify"/>
    </xf>
    <xf numFmtId="14" fontId="21" fillId="0" borderId="18" xfId="7" applyNumberFormat="1" applyFont="1" applyBorder="1" applyAlignment="1">
      <alignment horizontal="justify" vertical="justify"/>
    </xf>
    <xf numFmtId="14" fontId="26" fillId="0" borderId="0" xfId="0" applyNumberFormat="1" applyFont="1" applyAlignment="1">
      <alignment horizontal="left" vertical="center" wrapText="1"/>
    </xf>
    <xf numFmtId="0" fontId="37" fillId="0" borderId="33" xfId="7" applyFont="1" applyBorder="1" applyAlignment="1">
      <alignment horizontal="left" vertical="center"/>
    </xf>
    <xf numFmtId="0" fontId="21" fillId="0" borderId="36" xfId="7" applyFont="1" applyBorder="1" applyAlignment="1">
      <alignment horizontal="left" vertical="center"/>
    </xf>
    <xf numFmtId="14" fontId="21" fillId="0" borderId="35" xfId="7" applyNumberFormat="1" applyFont="1" applyBorder="1" applyAlignment="1">
      <alignment horizontal="justify" vertical="justify"/>
    </xf>
    <xf numFmtId="14" fontId="21" fillId="0" borderId="37" xfId="7" applyNumberFormat="1" applyFont="1" applyBorder="1" applyAlignment="1">
      <alignment horizontal="justify" vertical="justify"/>
    </xf>
    <xf numFmtId="0" fontId="21" fillId="0" borderId="33" xfId="7" applyFont="1" applyBorder="1" applyAlignment="1">
      <alignment horizontal="left" vertical="center"/>
    </xf>
    <xf numFmtId="0" fontId="26" fillId="0" borderId="36" xfId="0" applyFont="1" applyBorder="1" applyAlignment="1">
      <alignment horizontal="justify" vertical="justify"/>
    </xf>
    <xf numFmtId="0" fontId="26" fillId="0" borderId="35" xfId="0" applyFont="1" applyBorder="1" applyAlignment="1">
      <alignment horizontal="justify" vertical="justify"/>
    </xf>
    <xf numFmtId="0" fontId="26" fillId="0" borderId="37" xfId="0" applyFont="1" applyBorder="1" applyAlignment="1">
      <alignment horizontal="justify" vertical="justify"/>
    </xf>
    <xf numFmtId="0" fontId="26" fillId="0" borderId="0" xfId="0" applyFont="1" applyAlignment="1">
      <alignment horizontal="left" vertical="center" wrapText="1"/>
    </xf>
    <xf numFmtId="0" fontId="21" fillId="0" borderId="0" xfId="0" applyFont="1" applyAlignment="1">
      <alignment horizontal="left" vertical="center" wrapText="1"/>
    </xf>
    <xf numFmtId="0" fontId="21" fillId="0" borderId="36" xfId="0" applyFont="1" applyBorder="1" applyAlignment="1">
      <alignment horizontal="justify" vertical="justify"/>
    </xf>
    <xf numFmtId="0" fontId="21" fillId="0" borderId="35" xfId="0" applyFont="1" applyBorder="1" applyAlignment="1">
      <alignment horizontal="justify" vertical="justify"/>
    </xf>
    <xf numFmtId="0" fontId="21" fillId="0" borderId="37" xfId="0" applyFont="1" applyBorder="1" applyAlignment="1">
      <alignment horizontal="justify" vertical="justify"/>
    </xf>
    <xf numFmtId="0" fontId="37" fillId="0" borderId="10" xfId="7" applyFont="1" applyBorder="1" applyAlignment="1">
      <alignment horizontal="left" vertical="center"/>
    </xf>
    <xf numFmtId="166" fontId="21" fillId="0" borderId="11" xfId="9" applyFont="1" applyFill="1" applyBorder="1" applyAlignment="1">
      <alignment horizontal="center" vertical="center"/>
    </xf>
    <xf numFmtId="166" fontId="21" fillId="0" borderId="12" xfId="9" applyFont="1" applyFill="1" applyBorder="1" applyAlignment="1">
      <alignment horizontal="center" vertical="center"/>
    </xf>
    <xf numFmtId="166" fontId="21" fillId="0" borderId="9" xfId="9" applyFont="1" applyFill="1" applyBorder="1" applyAlignment="1">
      <alignment horizontal="center" vertical="center"/>
    </xf>
    <xf numFmtId="166" fontId="26" fillId="0" borderId="0" xfId="9" applyFont="1" applyBorder="1" applyAlignment="1">
      <alignment horizontal="left" vertical="center" wrapText="1"/>
    </xf>
    <xf numFmtId="0" fontId="21" fillId="0" borderId="10" xfId="0" applyFont="1" applyBorder="1" applyAlignment="1">
      <alignment horizontal="center" vertical="center"/>
    </xf>
    <xf numFmtId="0" fontId="21" fillId="0" borderId="1" xfId="7" applyFont="1" applyBorder="1" applyAlignment="1">
      <alignment vertical="center"/>
    </xf>
    <xf numFmtId="166" fontId="21" fillId="0" borderId="2" xfId="9" applyFont="1" applyFill="1" applyBorder="1" applyAlignment="1">
      <alignment vertical="center"/>
    </xf>
    <xf numFmtId="166" fontId="21" fillId="0" borderId="16" xfId="9" applyFont="1" applyBorder="1" applyAlignment="1">
      <alignment horizontal="left" vertical="center" wrapText="1"/>
    </xf>
    <xf numFmtId="0" fontId="21" fillId="0" borderId="10" xfId="0" applyFont="1" applyBorder="1" applyAlignment="1">
      <alignment vertical="center"/>
    </xf>
    <xf numFmtId="0" fontId="21" fillId="0" borderId="14" xfId="0" applyFont="1" applyBorder="1" applyAlignment="1">
      <alignment vertical="center"/>
    </xf>
    <xf numFmtId="167" fontId="20" fillId="0" borderId="8" xfId="10" applyFont="1" applyBorder="1" applyAlignment="1">
      <alignment horizontal="left"/>
    </xf>
    <xf numFmtId="0" fontId="20" fillId="0" borderId="0" xfId="0" applyFont="1" applyAlignment="1">
      <alignment horizontal="left"/>
    </xf>
    <xf numFmtId="0" fontId="20" fillId="0" borderId="8" xfId="0" applyFont="1" applyBorder="1" applyAlignment="1">
      <alignment horizontal="left"/>
    </xf>
    <xf numFmtId="167" fontId="26" fillId="0" borderId="36" xfId="0" applyNumberFormat="1" applyFont="1" applyBorder="1" applyAlignment="1">
      <alignment horizontal="justify" vertical="justify"/>
    </xf>
    <xf numFmtId="9" fontId="26" fillId="0" borderId="36" xfId="6" applyFont="1" applyFill="1" applyBorder="1" applyAlignment="1">
      <alignment horizontal="justify" vertical="justify"/>
    </xf>
    <xf numFmtId="9" fontId="26" fillId="0" borderId="35" xfId="6" applyFont="1" applyFill="1" applyBorder="1" applyAlignment="1">
      <alignment horizontal="justify" vertical="justify"/>
    </xf>
    <xf numFmtId="9" fontId="26" fillId="0" borderId="37" xfId="6" applyFont="1" applyFill="1" applyBorder="1" applyAlignment="1">
      <alignment horizontal="justify" vertical="justify"/>
    </xf>
    <xf numFmtId="9" fontId="26" fillId="0" borderId="0" xfId="0" applyNumberFormat="1" applyFont="1" applyAlignment="1">
      <alignment horizontal="left" vertical="center" wrapText="1"/>
    </xf>
    <xf numFmtId="0" fontId="21" fillId="0" borderId="36" xfId="7" applyFont="1" applyBorder="1" applyAlignment="1">
      <alignment vertical="center"/>
    </xf>
    <xf numFmtId="0" fontId="26" fillId="0" borderId="35" xfId="0" applyFont="1" applyBorder="1" applyAlignment="1">
      <alignment horizontal="left" vertical="center" wrapText="1"/>
    </xf>
    <xf numFmtId="0" fontId="26" fillId="0" borderId="37" xfId="0" applyFont="1" applyBorder="1" applyAlignment="1">
      <alignment horizontal="left" vertical="center" wrapText="1"/>
    </xf>
    <xf numFmtId="0" fontId="23" fillId="0" borderId="35" xfId="0" applyFont="1" applyBorder="1" applyAlignment="1">
      <alignment horizontal="left" vertical="center" wrapText="1"/>
    </xf>
    <xf numFmtId="0" fontId="26" fillId="0" borderId="36" xfId="0" applyFont="1" applyBorder="1" applyAlignment="1">
      <alignment horizontal="justify" vertical="justify" wrapText="1"/>
    </xf>
    <xf numFmtId="0" fontId="26" fillId="0" borderId="35" xfId="0" applyFont="1" applyBorder="1" applyAlignment="1">
      <alignment horizontal="justify" vertical="justify" wrapText="1"/>
    </xf>
    <xf numFmtId="0" fontId="26" fillId="0" borderId="37" xfId="0" applyFont="1" applyBorder="1" applyAlignment="1">
      <alignment horizontal="justify" vertical="justify" wrapText="1"/>
    </xf>
    <xf numFmtId="0" fontId="21" fillId="0" borderId="39" xfId="7" applyFont="1" applyBorder="1" applyAlignment="1">
      <alignment horizontal="left" vertical="center"/>
    </xf>
    <xf numFmtId="0" fontId="26" fillId="0" borderId="36" xfId="0" applyFont="1" applyBorder="1" applyAlignment="1">
      <alignment horizontal="left" vertical="center" wrapText="1"/>
    </xf>
    <xf numFmtId="0" fontId="26" fillId="0" borderId="35" xfId="0" applyFont="1" applyBorder="1" applyAlignment="1">
      <alignment horizontal="left" vertical="center" wrapText="1"/>
    </xf>
    <xf numFmtId="0" fontId="21" fillId="0" borderId="40" xfId="7" applyFont="1" applyBorder="1" applyAlignment="1">
      <alignment horizontal="left" vertical="center" wrapText="1"/>
    </xf>
    <xf numFmtId="0" fontId="26" fillId="0" borderId="28" xfId="0" applyFont="1" applyBorder="1" applyAlignment="1">
      <alignment horizontal="justify" vertical="justify" wrapText="1"/>
    </xf>
    <xf numFmtId="0" fontId="26" fillId="0" borderId="29" xfId="0" applyFont="1" applyBorder="1" applyAlignment="1">
      <alignment horizontal="justify" vertical="justify" wrapText="1"/>
    </xf>
    <xf numFmtId="0" fontId="26" fillId="0" borderId="31" xfId="0" applyFont="1" applyBorder="1" applyAlignment="1">
      <alignment horizontal="justify" vertical="justify" wrapText="1"/>
    </xf>
    <xf numFmtId="0" fontId="21" fillId="0" borderId="41" xfId="0" applyFont="1" applyBorder="1" applyAlignment="1">
      <alignment horizontal="left" vertical="center"/>
    </xf>
    <xf numFmtId="0" fontId="26" fillId="0" borderId="34" xfId="0" applyFont="1" applyBorder="1" applyAlignment="1">
      <alignment horizontal="justify" vertical="justify" wrapText="1"/>
    </xf>
    <xf numFmtId="0" fontId="21" fillId="0" borderId="0" xfId="0" applyFont="1" applyAlignment="1">
      <alignment horizontal="center" vertical="center" wrapText="1"/>
    </xf>
    <xf numFmtId="0" fontId="21" fillId="0" borderId="34" xfId="0" applyFont="1" applyBorder="1" applyAlignment="1">
      <alignment horizontal="justify" vertical="justify" wrapText="1"/>
    </xf>
    <xf numFmtId="0" fontId="21" fillId="0" borderId="35" xfId="0" applyFont="1" applyBorder="1" applyAlignment="1">
      <alignment horizontal="justify" vertical="justify" wrapText="1"/>
    </xf>
    <xf numFmtId="0" fontId="21" fillId="0" borderId="37" xfId="0" applyFont="1" applyBorder="1" applyAlignment="1">
      <alignment horizontal="justify" vertical="justify" wrapText="1"/>
    </xf>
    <xf numFmtId="0" fontId="26" fillId="0" borderId="0" xfId="0" applyFont="1" applyAlignment="1">
      <alignment vertical="top" wrapText="1"/>
    </xf>
    <xf numFmtId="0" fontId="21" fillId="0" borderId="41" xfId="0" applyFont="1" applyBorder="1" applyAlignment="1">
      <alignment horizontal="center" vertical="center"/>
    </xf>
    <xf numFmtId="0" fontId="21" fillId="0" borderId="34" xfId="0" applyFont="1" applyBorder="1" applyAlignment="1">
      <alignment vertical="center"/>
    </xf>
    <xf numFmtId="0" fontId="20" fillId="0" borderId="35" xfId="0" applyFont="1" applyBorder="1"/>
    <xf numFmtId="0" fontId="26" fillId="0" borderId="37" xfId="0" applyFont="1" applyBorder="1" applyAlignment="1">
      <alignment vertical="center"/>
    </xf>
    <xf numFmtId="0" fontId="26" fillId="0" borderId="0" xfId="0" applyFont="1" applyAlignment="1">
      <alignment vertical="center"/>
    </xf>
    <xf numFmtId="0" fontId="21" fillId="0" borderId="42" xfId="0" applyFont="1" applyBorder="1" applyAlignment="1">
      <alignment horizontal="center" vertical="center"/>
    </xf>
    <xf numFmtId="0" fontId="23" fillId="0" borderId="35" xfId="0" applyFont="1" applyBorder="1" applyAlignment="1">
      <alignment vertical="center"/>
    </xf>
    <xf numFmtId="0" fontId="21" fillId="0" borderId="38" xfId="0" applyFont="1" applyBorder="1" applyAlignment="1">
      <alignment horizontal="left" vertical="center"/>
    </xf>
    <xf numFmtId="0" fontId="21" fillId="0" borderId="36" xfId="0" applyFont="1" applyBorder="1" applyAlignment="1">
      <alignment horizontal="left" vertical="center"/>
    </xf>
    <xf numFmtId="0" fontId="21" fillId="0" borderId="35" xfId="0" applyFont="1" applyBorder="1" applyAlignment="1">
      <alignment horizontal="left" vertical="center"/>
    </xf>
    <xf numFmtId="0" fontId="38" fillId="0" borderId="37" xfId="0" applyFont="1" applyBorder="1" applyAlignment="1">
      <alignment horizontal="center" vertical="center" textRotation="90" wrapText="1"/>
    </xf>
    <xf numFmtId="0" fontId="21" fillId="0" borderId="0" xfId="0" applyFont="1" applyAlignment="1">
      <alignment vertical="center"/>
    </xf>
    <xf numFmtId="0" fontId="21" fillId="0" borderId="33" xfId="0" applyFont="1" applyBorder="1" applyAlignment="1">
      <alignment horizontal="left" vertical="center"/>
    </xf>
    <xf numFmtId="0" fontId="26" fillId="0" borderId="36" xfId="0" applyFont="1" applyBorder="1" applyAlignment="1">
      <alignment horizontal="justify" vertical="top" wrapText="1"/>
    </xf>
    <xf numFmtId="0" fontId="26" fillId="0" borderId="35" xfId="0" applyFont="1" applyBorder="1" applyAlignment="1">
      <alignment horizontal="justify" vertical="top" wrapText="1"/>
    </xf>
    <xf numFmtId="0" fontId="26" fillId="0" borderId="0" xfId="0" applyFont="1" applyAlignment="1">
      <alignment horizontal="left" vertical="top" wrapText="1"/>
    </xf>
    <xf numFmtId="0" fontId="21" fillId="3" borderId="33" xfId="0" applyFont="1" applyFill="1" applyBorder="1" applyAlignment="1">
      <alignment horizontal="left" vertical="center"/>
    </xf>
    <xf numFmtId="0" fontId="21" fillId="0" borderId="30" xfId="0" applyFont="1" applyBorder="1" applyAlignment="1">
      <alignment horizontal="left" vertical="center"/>
    </xf>
    <xf numFmtId="0" fontId="21" fillId="0" borderId="29" xfId="0" applyFont="1" applyBorder="1" applyAlignment="1">
      <alignment horizontal="left" vertical="center"/>
    </xf>
    <xf numFmtId="0" fontId="38" fillId="0" borderId="8" xfId="0" applyFont="1" applyBorder="1" applyAlignment="1">
      <alignment horizontal="center" vertical="center" textRotation="90" wrapText="1"/>
    </xf>
    <xf numFmtId="0" fontId="21" fillId="3" borderId="43" xfId="0" applyFont="1" applyFill="1" applyBorder="1" applyAlignment="1">
      <alignment horizontal="left" vertical="center"/>
    </xf>
    <xf numFmtId="0" fontId="26" fillId="0" borderId="22" xfId="0" applyFont="1" applyBorder="1" applyAlignment="1">
      <alignment horizontal="justify" vertical="top" wrapText="1"/>
    </xf>
    <xf numFmtId="0" fontId="26" fillId="0" borderId="25" xfId="0" applyFont="1" applyBorder="1" applyAlignment="1">
      <alignment horizontal="justify" vertical="top" wrapText="1"/>
    </xf>
    <xf numFmtId="0" fontId="38" fillId="0" borderId="9" xfId="0" applyFont="1" applyBorder="1" applyAlignment="1">
      <alignment horizontal="center" vertical="center" textRotation="90" wrapText="1"/>
    </xf>
    <xf numFmtId="0" fontId="26" fillId="0" borderId="0" xfId="0" applyFont="1" applyAlignment="1">
      <alignment horizontal="left" vertical="center"/>
    </xf>
    <xf numFmtId="0" fontId="26" fillId="0" borderId="0" xfId="0" applyFont="1"/>
  </cellXfs>
  <cellStyles count="11">
    <cellStyle name="Millares" xfId="1" builtinId="3"/>
    <cellStyle name="Millares 2" xfId="9" xr:uid="{64570DB8-E89F-409C-BFF7-5BD798159879}"/>
    <cellStyle name="Moneda 2" xfId="10" xr:uid="{F4E00C3B-6DFB-44AA-AF5F-3C457ED7FA56}"/>
    <cellStyle name="Normal" xfId="0" builtinId="0"/>
    <cellStyle name="Normal 10 2" xfId="4" xr:uid="{EA08E8D2-05FF-4314-A73A-302BE1E7BE42}"/>
    <cellStyle name="Normal 11" xfId="5" xr:uid="{AEDDF647-8678-4648-B185-B8B5BA90F071}"/>
    <cellStyle name="Normal 2" xfId="3" xr:uid="{5E748D10-F1AA-4915-BA84-C9FEC65467E0}"/>
    <cellStyle name="Normal 2 2" xfId="7" xr:uid="{3E671FFC-D9CC-43D8-9D7B-141B6A324400}"/>
    <cellStyle name="Normal 47" xfId="8" xr:uid="{74D49665-CD0F-4414-8574-93FB1A1BBEE5}"/>
    <cellStyle name="Normal 7" xfId="2" xr:uid="{00000000-0005-0000-0000-000002000000}"/>
    <cellStyle name="Porcentaje" xfId="6" builtinId="5"/>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xdr:col>
      <xdr:colOff>19051</xdr:colOff>
      <xdr:row>0</xdr:row>
      <xdr:rowOff>19050</xdr:rowOff>
    </xdr:from>
    <xdr:to>
      <xdr:col>2</xdr:col>
      <xdr:colOff>1247775</xdr:colOff>
      <xdr:row>3</xdr:row>
      <xdr:rowOff>37520</xdr:rowOff>
    </xdr:to>
    <xdr:pic>
      <xdr:nvPicPr>
        <xdr:cNvPr id="2" name="Imagen 1" descr="C:\Users\Usuario\Desktop\A AUDITORIAS\A AUDITORIAS\2018\LOGOS\Logo 1\3ANG_LOGO.png">
          <a:extLst>
            <a:ext uri="{FF2B5EF4-FFF2-40B4-BE49-F238E27FC236}">
              <a16:creationId xmlns:a16="http://schemas.microsoft.com/office/drawing/2014/main" id="{A5C621D8-4BAE-46D4-99E6-944B1ABECEC8}"/>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4326" y="19050"/>
          <a:ext cx="1228724" cy="659130"/>
        </a:xfrm>
        <a:prstGeom prst="rect">
          <a:avLst/>
        </a:prstGeom>
        <a:noFill/>
        <a:ln>
          <a:noFill/>
        </a:ln>
      </xdr:spPr>
    </xdr:pic>
    <xdr:clientData/>
  </xdr:twoCellAnchor>
  <xdr:twoCellAnchor>
    <xdr:from>
      <xdr:col>19</xdr:col>
      <xdr:colOff>0</xdr:colOff>
      <xdr:row>0</xdr:row>
      <xdr:rowOff>0</xdr:rowOff>
    </xdr:from>
    <xdr:to>
      <xdr:col>20</xdr:col>
      <xdr:colOff>38100</xdr:colOff>
      <xdr:row>1</xdr:row>
      <xdr:rowOff>200025</xdr:rowOff>
    </xdr:to>
    <xdr:sp macro="" textlink="">
      <xdr:nvSpPr>
        <xdr:cNvPr id="3" name="Flecha derecha 2">
          <a:hlinkClick xmlns:r="http://schemas.openxmlformats.org/officeDocument/2006/relationships" r:id="rId2"/>
          <a:extLst>
            <a:ext uri="{FF2B5EF4-FFF2-40B4-BE49-F238E27FC236}">
              <a16:creationId xmlns:a16="http://schemas.microsoft.com/office/drawing/2014/main" id="{7674A4B3-B641-42F8-A6A7-01DB6E59915D}"/>
            </a:ext>
          </a:extLst>
        </xdr:cNvPr>
        <xdr:cNvSpPr/>
      </xdr:nvSpPr>
      <xdr:spPr>
        <a:xfrm>
          <a:off x="10391775" y="0"/>
          <a:ext cx="800100" cy="4762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123825</xdr:colOff>
      <xdr:row>0</xdr:row>
      <xdr:rowOff>0</xdr:rowOff>
    </xdr:from>
    <xdr:to>
      <xdr:col>1</xdr:col>
      <xdr:colOff>1695450</xdr:colOff>
      <xdr:row>1</xdr:row>
      <xdr:rowOff>381000</xdr:rowOff>
    </xdr:to>
    <xdr:pic>
      <xdr:nvPicPr>
        <xdr:cNvPr id="2" name="Imagen 2" descr="C:\Users\Usuario\Desktop\A AUDITORIAS\A AUDITORIAS\2018\LOGOS\Logo 1\3ANG_LOGO.png">
          <a:extLst>
            <a:ext uri="{FF2B5EF4-FFF2-40B4-BE49-F238E27FC236}">
              <a16:creationId xmlns:a16="http://schemas.microsoft.com/office/drawing/2014/main" id="{437508AD-32A6-438E-BF29-3BDC52D91F8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71475" y="0"/>
          <a:ext cx="1571625" cy="790575"/>
        </a:xfrm>
        <a:prstGeom prst="rect">
          <a:avLst/>
        </a:prstGeom>
        <a:noFill/>
        <a:ln w="9525">
          <a:no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0</xdr:row>
      <xdr:rowOff>0</xdr:rowOff>
    </xdr:from>
    <xdr:to>
      <xdr:col>6</xdr:col>
      <xdr:colOff>800100</xdr:colOff>
      <xdr:row>1</xdr:row>
      <xdr:rowOff>228600</xdr:rowOff>
    </xdr:to>
    <xdr:sp macro="" textlink="">
      <xdr:nvSpPr>
        <xdr:cNvPr id="3" name="Flecha derecha 2">
          <a:hlinkClick xmlns:r="http://schemas.openxmlformats.org/officeDocument/2006/relationships" r:id="rId2"/>
          <a:extLst>
            <a:ext uri="{FF2B5EF4-FFF2-40B4-BE49-F238E27FC236}">
              <a16:creationId xmlns:a16="http://schemas.microsoft.com/office/drawing/2014/main" id="{02F7EFEB-1555-45C1-8FED-17B440BD853C}"/>
            </a:ext>
          </a:extLst>
        </xdr:cNvPr>
        <xdr:cNvSpPr/>
      </xdr:nvSpPr>
      <xdr:spPr>
        <a:xfrm>
          <a:off x="10629900" y="0"/>
          <a:ext cx="800100" cy="6381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19050</xdr:colOff>
      <xdr:row>0</xdr:row>
      <xdr:rowOff>171450</xdr:rowOff>
    </xdr:from>
    <xdr:to>
      <xdr:col>0</xdr:col>
      <xdr:colOff>1362075</xdr:colOff>
      <xdr:row>4</xdr:row>
      <xdr:rowOff>180975</xdr:rowOff>
    </xdr:to>
    <xdr:pic>
      <xdr:nvPicPr>
        <xdr:cNvPr id="2" name="Imagen 1" descr="C:\Users\Usuario\Desktop\A AUDITORIAS\A AUDITORIAS\2018\LOGOS\Logo 1\3ANG_LOGO.png">
          <a:extLst>
            <a:ext uri="{FF2B5EF4-FFF2-40B4-BE49-F238E27FC236}">
              <a16:creationId xmlns:a16="http://schemas.microsoft.com/office/drawing/2014/main" id="{F9B26B4C-E616-42BE-9018-791F3D6D225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 y="171450"/>
          <a:ext cx="1343025" cy="828675"/>
        </a:xfrm>
        <a:prstGeom prst="rect">
          <a:avLst/>
        </a:prstGeom>
        <a:noFill/>
        <a:ln>
          <a:noFill/>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5D9B4-487C-4127-9F86-438A338D6E8F}">
  <sheetPr>
    <tabColor rgb="FFFF0000"/>
  </sheetPr>
  <dimension ref="A1:R62"/>
  <sheetViews>
    <sheetView tabSelected="1" zoomScale="115" zoomScaleNormal="115" workbookViewId="0">
      <selection activeCell="C39" sqref="C39:D39"/>
    </sheetView>
  </sheetViews>
  <sheetFormatPr baseColWidth="10" defaultRowHeight="15" x14ac:dyDescent="0.25"/>
  <cols>
    <col min="1" max="1" width="1.7109375" style="76" customWidth="1"/>
    <col min="2" max="2" width="2.7109375" customWidth="1"/>
    <col min="3" max="3" width="19.28515625" customWidth="1"/>
    <col min="4" max="4" width="49.140625" customWidth="1"/>
    <col min="5" max="11" width="3" customWidth="1"/>
    <col min="12" max="12" width="6.28515625" customWidth="1"/>
    <col min="13" max="13" width="4.7109375" customWidth="1"/>
    <col min="14" max="14" width="3.5703125" customWidth="1"/>
    <col min="15" max="15" width="4" customWidth="1"/>
    <col min="16" max="16" width="3.5703125" customWidth="1"/>
    <col min="17" max="17" width="17" style="162" customWidth="1"/>
  </cols>
  <sheetData>
    <row r="1" spans="1:17" ht="21" thickBot="1" x14ac:dyDescent="0.35">
      <c r="D1" s="77" t="s">
        <v>27</v>
      </c>
      <c r="E1" s="77"/>
      <c r="F1" s="77"/>
      <c r="G1" s="77"/>
      <c r="H1" s="77"/>
      <c r="I1" s="77"/>
      <c r="J1" s="77"/>
      <c r="K1" s="77"/>
      <c r="L1" s="77"/>
      <c r="M1" s="77"/>
      <c r="N1" s="77"/>
      <c r="O1" s="77"/>
      <c r="P1" s="77"/>
      <c r="Q1"/>
    </row>
    <row r="2" spans="1:17" ht="20.25" x14ac:dyDescent="0.3">
      <c r="D2" s="77" t="s">
        <v>28</v>
      </c>
      <c r="E2" s="77"/>
      <c r="F2" s="77"/>
      <c r="G2" s="77"/>
      <c r="H2" s="77"/>
      <c r="I2" s="77"/>
      <c r="J2" s="77"/>
      <c r="K2" s="77"/>
      <c r="L2" s="77"/>
      <c r="M2" s="77"/>
      <c r="N2" s="77"/>
      <c r="O2" s="77"/>
      <c r="P2" s="77"/>
      <c r="Q2" s="78" t="s">
        <v>29</v>
      </c>
    </row>
    <row r="3" spans="1:17" ht="9" customHeight="1" x14ac:dyDescent="0.25">
      <c r="D3" s="79"/>
      <c r="E3" s="79"/>
      <c r="F3" s="79"/>
      <c r="G3" s="79"/>
      <c r="H3" s="79"/>
      <c r="I3" s="79"/>
      <c r="J3" s="79"/>
      <c r="K3" s="79"/>
      <c r="L3" s="79"/>
      <c r="M3" s="79"/>
      <c r="N3" s="79"/>
      <c r="O3" s="79"/>
      <c r="P3" s="80" t="s">
        <v>30</v>
      </c>
      <c r="Q3" s="81"/>
    </row>
    <row r="4" spans="1:17" s="84" customFormat="1" ht="15.75" customHeight="1" thickBot="1" x14ac:dyDescent="0.3">
      <c r="A4" s="82"/>
      <c r="B4" s="83" t="s">
        <v>31</v>
      </c>
      <c r="C4" s="83"/>
      <c r="D4" s="84" t="s">
        <v>32</v>
      </c>
      <c r="P4" s="80"/>
      <c r="Q4" s="85"/>
    </row>
    <row r="5" spans="1:17" s="84" customFormat="1" ht="15.75" customHeight="1" thickBot="1" x14ac:dyDescent="0.3">
      <c r="A5" s="82"/>
      <c r="B5" s="83" t="s">
        <v>33</v>
      </c>
      <c r="C5" s="83"/>
      <c r="D5" s="84" t="s">
        <v>34</v>
      </c>
      <c r="H5" s="86" t="s">
        <v>35</v>
      </c>
      <c r="I5" s="86"/>
      <c r="J5" s="86"/>
      <c r="K5" s="86"/>
      <c r="L5" s="87"/>
      <c r="M5" s="87" t="s">
        <v>36</v>
      </c>
      <c r="N5" s="86"/>
      <c r="O5" s="86"/>
      <c r="P5" s="86"/>
    </row>
    <row r="6" spans="1:17" s="84" customFormat="1" ht="15.75" x14ac:dyDescent="0.25">
      <c r="A6" s="82"/>
      <c r="B6" s="83" t="s">
        <v>37</v>
      </c>
      <c r="C6" s="83"/>
      <c r="D6" s="88" t="s">
        <v>38</v>
      </c>
      <c r="H6" s="89" t="s">
        <v>39</v>
      </c>
      <c r="I6" s="89"/>
      <c r="J6" s="89"/>
      <c r="K6" s="89"/>
      <c r="L6" s="90"/>
      <c r="M6" s="90"/>
      <c r="N6" s="86"/>
      <c r="O6" s="86"/>
      <c r="P6" s="86"/>
      <c r="Q6" s="91" t="s">
        <v>40</v>
      </c>
    </row>
    <row r="7" spans="1:17" s="84" customFormat="1" ht="15.75" x14ac:dyDescent="0.25">
      <c r="A7" s="82"/>
      <c r="B7" s="83" t="s">
        <v>41</v>
      </c>
      <c r="C7" s="83"/>
      <c r="D7" s="84" t="s">
        <v>42</v>
      </c>
      <c r="E7" s="88" t="s">
        <v>6</v>
      </c>
      <c r="H7" s="92">
        <v>45162</v>
      </c>
      <c r="I7" s="93"/>
      <c r="J7" s="93"/>
      <c r="K7" s="93"/>
      <c r="L7" s="92">
        <v>45162</v>
      </c>
      <c r="M7" s="92"/>
      <c r="N7" s="92"/>
      <c r="O7" s="93"/>
      <c r="P7" s="93"/>
      <c r="Q7" s="94" t="s">
        <v>43</v>
      </c>
    </row>
    <row r="8" spans="1:17" s="84" customFormat="1" ht="16.5" thickBot="1" x14ac:dyDescent="0.3">
      <c r="A8" s="82"/>
      <c r="B8" s="83" t="s">
        <v>44</v>
      </c>
      <c r="C8" s="83"/>
      <c r="D8" s="84" t="s">
        <v>45</v>
      </c>
      <c r="E8" s="88" t="s">
        <v>6</v>
      </c>
      <c r="H8" s="92">
        <f>+H7+20</f>
        <v>45182</v>
      </c>
      <c r="I8" s="93"/>
      <c r="J8" s="93"/>
      <c r="K8" s="93"/>
      <c r="L8" s="92">
        <f>+L7+1</f>
        <v>45163</v>
      </c>
      <c r="M8" s="92"/>
      <c r="N8" s="92"/>
      <c r="O8" s="93"/>
      <c r="P8" s="93"/>
      <c r="Q8" s="95"/>
    </row>
    <row r="9" spans="1:17" s="84" customFormat="1" ht="17.25" x14ac:dyDescent="0.25">
      <c r="A9" s="82">
        <v>1</v>
      </c>
      <c r="B9" s="96" t="s">
        <v>46</v>
      </c>
      <c r="C9" s="96"/>
      <c r="D9" s="97" t="s">
        <v>47</v>
      </c>
      <c r="E9" s="97"/>
      <c r="F9" s="97"/>
      <c r="G9" s="97"/>
      <c r="H9" s="97"/>
      <c r="I9" s="97"/>
      <c r="J9" s="97"/>
      <c r="K9" s="97"/>
      <c r="L9" s="97"/>
      <c r="M9" s="97"/>
      <c r="N9" s="97"/>
      <c r="O9" s="97"/>
      <c r="P9" s="97"/>
      <c r="Q9" s="97"/>
    </row>
    <row r="10" spans="1:17" s="84" customFormat="1" ht="64.5" x14ac:dyDescent="0.25">
      <c r="A10" s="82">
        <v>1111</v>
      </c>
      <c r="B10" s="96"/>
      <c r="C10" s="96"/>
      <c r="D10" s="98" t="s">
        <v>48</v>
      </c>
      <c r="E10" s="98"/>
      <c r="F10" s="98"/>
      <c r="G10" s="98"/>
      <c r="H10" s="98"/>
      <c r="I10" s="98"/>
      <c r="J10" s="98"/>
      <c r="K10" s="98"/>
      <c r="L10" s="98"/>
      <c r="M10" s="98"/>
      <c r="N10" s="98"/>
      <c r="O10" s="98"/>
      <c r="P10" s="98"/>
      <c r="Q10" s="98"/>
    </row>
    <row r="11" spans="1:17" s="84" customFormat="1" ht="15.75" x14ac:dyDescent="0.25">
      <c r="A11" s="99"/>
      <c r="B11" s="100"/>
      <c r="C11" s="100"/>
      <c r="D11" s="101" t="s">
        <v>49</v>
      </c>
      <c r="E11" s="102"/>
      <c r="F11" s="102"/>
      <c r="G11" s="102"/>
      <c r="H11" s="102"/>
      <c r="I11" s="102"/>
      <c r="J11" s="102"/>
      <c r="K11" s="102"/>
      <c r="L11" s="102"/>
      <c r="M11" s="102"/>
      <c r="N11" s="102"/>
      <c r="O11" s="102"/>
      <c r="P11" s="102"/>
    </row>
    <row r="12" spans="1:17" s="104" customFormat="1" ht="15" customHeight="1" x14ac:dyDescent="0.2">
      <c r="A12" s="99"/>
      <c r="B12" s="103" t="s">
        <v>50</v>
      </c>
      <c r="C12" s="103"/>
      <c r="D12" s="103"/>
      <c r="I12" s="105" t="s">
        <v>51</v>
      </c>
      <c r="N12" s="105" t="s">
        <v>52</v>
      </c>
    </row>
    <row r="13" spans="1:17" s="104" customFormat="1" ht="14.25" x14ac:dyDescent="0.2">
      <c r="A13" s="99"/>
      <c r="B13" s="106" t="s">
        <v>53</v>
      </c>
      <c r="C13" s="104" t="s">
        <v>54</v>
      </c>
      <c r="D13" s="104" t="s">
        <v>55</v>
      </c>
      <c r="E13" s="107" t="s">
        <v>56</v>
      </c>
      <c r="H13" s="108"/>
      <c r="I13" s="109" t="s">
        <v>57</v>
      </c>
      <c r="K13" s="108"/>
      <c r="L13" s="108"/>
      <c r="N13" s="110" t="s">
        <v>58</v>
      </c>
      <c r="O13" s="109"/>
    </row>
    <row r="14" spans="1:17" s="104" customFormat="1" ht="12.75" x14ac:dyDescent="0.2">
      <c r="A14" s="99"/>
      <c r="B14" s="106" t="s">
        <v>59</v>
      </c>
      <c r="C14" s="104" t="s">
        <v>60</v>
      </c>
      <c r="D14" s="104" t="s">
        <v>61</v>
      </c>
      <c r="H14" s="108"/>
      <c r="I14" s="109" t="s">
        <v>36</v>
      </c>
      <c r="J14" s="111"/>
      <c r="K14" s="108"/>
      <c r="L14" s="108"/>
      <c r="M14" s="112" t="s">
        <v>62</v>
      </c>
      <c r="N14" s="109" t="s">
        <v>63</v>
      </c>
      <c r="O14" s="109"/>
    </row>
    <row r="15" spans="1:17" s="104" customFormat="1" ht="12.75" x14ac:dyDescent="0.2">
      <c r="A15" s="99"/>
      <c r="B15" s="106" t="s">
        <v>62</v>
      </c>
      <c r="C15" s="104" t="s">
        <v>64</v>
      </c>
      <c r="D15" s="104" t="s">
        <v>65</v>
      </c>
      <c r="H15" s="108"/>
      <c r="I15" s="109" t="s">
        <v>66</v>
      </c>
      <c r="J15" s="111"/>
      <c r="K15" s="108"/>
      <c r="L15" s="108"/>
      <c r="M15" s="112" t="s">
        <v>67</v>
      </c>
      <c r="N15" s="109" t="s">
        <v>68</v>
      </c>
      <c r="O15" s="109"/>
    </row>
    <row r="16" spans="1:17" s="104" customFormat="1" ht="12.75" x14ac:dyDescent="0.2">
      <c r="A16" s="99"/>
      <c r="C16" s="106"/>
      <c r="D16" s="104" t="s">
        <v>69</v>
      </c>
      <c r="H16" s="108"/>
      <c r="I16" s="109"/>
      <c r="J16" s="111"/>
      <c r="K16" s="108"/>
      <c r="L16" s="108"/>
      <c r="M16" s="112" t="s">
        <v>70</v>
      </c>
      <c r="N16" s="110" t="s">
        <v>71</v>
      </c>
      <c r="O16" s="109"/>
    </row>
    <row r="17" spans="1:18" s="104" customFormat="1" ht="6.75" customHeight="1" thickBot="1" x14ac:dyDescent="0.25">
      <c r="A17" s="113"/>
      <c r="C17" s="106"/>
    </row>
    <row r="18" spans="1:18" ht="15.75" x14ac:dyDescent="0.25">
      <c r="C18" s="114" t="s">
        <v>72</v>
      </c>
      <c r="D18" s="115"/>
      <c r="E18" s="116" t="s">
        <v>73</v>
      </c>
      <c r="F18" s="117"/>
      <c r="G18" s="117"/>
      <c r="H18" s="117"/>
      <c r="I18" s="117"/>
      <c r="J18" s="117"/>
      <c r="K18" s="117"/>
      <c r="L18" s="118" t="s">
        <v>74</v>
      </c>
      <c r="M18" s="119"/>
      <c r="N18" s="116" t="s">
        <v>75</v>
      </c>
      <c r="O18" s="117"/>
      <c r="P18" s="117"/>
      <c r="Q18" s="120" t="s">
        <v>51</v>
      </c>
    </row>
    <row r="19" spans="1:18" ht="16.5" thickBot="1" x14ac:dyDescent="0.3">
      <c r="C19" s="121"/>
      <c r="D19" s="122"/>
      <c r="E19" s="123" t="s">
        <v>53</v>
      </c>
      <c r="F19" s="124" t="s">
        <v>59</v>
      </c>
      <c r="G19" s="124" t="s">
        <v>62</v>
      </c>
      <c r="H19" s="124" t="s">
        <v>76</v>
      </c>
      <c r="I19" s="124" t="s">
        <v>77</v>
      </c>
      <c r="J19" s="124" t="s">
        <v>78</v>
      </c>
      <c r="K19" s="124" t="s">
        <v>70</v>
      </c>
      <c r="L19" s="125"/>
      <c r="M19" s="126"/>
      <c r="N19" s="123" t="s">
        <v>62</v>
      </c>
      <c r="O19" s="124" t="s">
        <v>67</v>
      </c>
      <c r="P19" s="124" t="s">
        <v>70</v>
      </c>
      <c r="Q19" s="127"/>
    </row>
    <row r="20" spans="1:18" s="84" customFormat="1" ht="15.75" x14ac:dyDescent="0.25">
      <c r="A20" s="82"/>
      <c r="C20" s="128" t="s">
        <v>79</v>
      </c>
      <c r="D20" s="129"/>
      <c r="E20" s="130"/>
      <c r="F20" s="131"/>
      <c r="G20" s="131"/>
      <c r="H20" s="131"/>
      <c r="I20" s="131"/>
      <c r="J20" s="131"/>
      <c r="K20" s="131"/>
      <c r="L20" s="132"/>
      <c r="M20" s="133"/>
      <c r="N20" s="130"/>
      <c r="O20" s="131"/>
      <c r="P20" s="131"/>
      <c r="Q20" s="134"/>
      <c r="R20"/>
    </row>
    <row r="21" spans="1:18" s="84" customFormat="1" ht="48.75" x14ac:dyDescent="0.25">
      <c r="A21" s="82">
        <v>111</v>
      </c>
      <c r="C21" s="135" t="s">
        <v>80</v>
      </c>
      <c r="D21" s="136"/>
      <c r="E21" s="137"/>
      <c r="F21" s="138"/>
      <c r="G21" s="138"/>
      <c r="H21" s="138"/>
      <c r="I21" s="138"/>
      <c r="J21" s="138"/>
      <c r="K21" s="138"/>
      <c r="L21" s="139" t="s">
        <v>81</v>
      </c>
      <c r="M21" s="140">
        <v>1</v>
      </c>
      <c r="N21" s="137"/>
      <c r="O21" s="138"/>
      <c r="P21" s="138"/>
      <c r="Q21" s="134"/>
      <c r="R21"/>
    </row>
    <row r="22" spans="1:18" s="84" customFormat="1" ht="48.75" x14ac:dyDescent="0.25">
      <c r="A22" s="82">
        <v>111</v>
      </c>
      <c r="C22" s="135" t="s">
        <v>82</v>
      </c>
      <c r="D22" s="136"/>
      <c r="E22" s="137"/>
      <c r="F22" s="138"/>
      <c r="G22" s="138"/>
      <c r="H22" s="138"/>
      <c r="I22" s="138"/>
      <c r="J22" s="138"/>
      <c r="K22" s="138"/>
      <c r="L22" s="139" t="s">
        <v>81</v>
      </c>
      <c r="M22" s="141"/>
      <c r="N22" s="137"/>
      <c r="O22" s="138"/>
      <c r="P22" s="138"/>
      <c r="Q22" s="134"/>
    </row>
    <row r="23" spans="1:18" s="84" customFormat="1" ht="33.75" customHeight="1" x14ac:dyDescent="0.25">
      <c r="A23" s="82">
        <v>11</v>
      </c>
      <c r="C23" s="135" t="s">
        <v>83</v>
      </c>
      <c r="D23" s="136"/>
      <c r="E23" s="137"/>
      <c r="F23" s="138"/>
      <c r="G23" s="138"/>
      <c r="H23" s="138"/>
      <c r="I23" s="138"/>
      <c r="J23" s="138"/>
      <c r="K23" s="138"/>
      <c r="L23" s="139" t="s">
        <v>81</v>
      </c>
      <c r="M23" s="141"/>
      <c r="N23" s="137"/>
      <c r="O23" s="138"/>
      <c r="P23" s="138"/>
      <c r="Q23" s="134"/>
    </row>
    <row r="24" spans="1:18" s="84" customFormat="1" ht="64.5" x14ac:dyDescent="0.25">
      <c r="A24" s="82">
        <v>1111</v>
      </c>
      <c r="C24" s="135" t="s">
        <v>84</v>
      </c>
      <c r="D24" s="136"/>
      <c r="E24" s="137"/>
      <c r="F24" s="138"/>
      <c r="G24" s="138"/>
      <c r="H24" s="138"/>
      <c r="I24" s="138"/>
      <c r="J24" s="138"/>
      <c r="K24" s="138"/>
      <c r="L24" s="139" t="s">
        <v>81</v>
      </c>
      <c r="M24" s="141"/>
      <c r="N24" s="137"/>
      <c r="O24" s="138"/>
      <c r="P24" s="138"/>
      <c r="Q24" s="134"/>
    </row>
    <row r="25" spans="1:18" s="84" customFormat="1" ht="33" x14ac:dyDescent="0.25">
      <c r="A25" s="82">
        <v>11</v>
      </c>
      <c r="C25" s="135" t="s">
        <v>85</v>
      </c>
      <c r="D25" s="136"/>
      <c r="E25" s="137"/>
      <c r="F25" s="138"/>
      <c r="G25" s="138"/>
      <c r="H25" s="138"/>
      <c r="I25" s="138"/>
      <c r="J25" s="138"/>
      <c r="K25" s="138"/>
      <c r="L25" s="142"/>
      <c r="M25" s="141"/>
      <c r="N25" s="137"/>
      <c r="O25" s="138"/>
      <c r="P25" s="138"/>
      <c r="Q25" s="134"/>
    </row>
    <row r="26" spans="1:18" s="84" customFormat="1" ht="33" x14ac:dyDescent="0.25">
      <c r="A26" s="82">
        <v>11</v>
      </c>
      <c r="C26" s="143" t="s">
        <v>86</v>
      </c>
      <c r="D26" s="144"/>
      <c r="E26" s="137"/>
      <c r="F26" s="138"/>
      <c r="G26" s="138"/>
      <c r="H26" s="138"/>
      <c r="I26" s="138"/>
      <c r="J26" s="138"/>
      <c r="K26" s="138"/>
      <c r="L26" s="139" t="s">
        <v>81</v>
      </c>
      <c r="M26" s="141"/>
      <c r="N26" s="137"/>
      <c r="O26" s="138"/>
      <c r="P26" s="138"/>
      <c r="Q26" s="134"/>
    </row>
    <row r="27" spans="1:18" s="84" customFormat="1" ht="33" x14ac:dyDescent="0.25">
      <c r="A27" s="82">
        <v>11</v>
      </c>
      <c r="C27" s="135" t="s">
        <v>87</v>
      </c>
      <c r="D27" s="136"/>
      <c r="E27" s="137"/>
      <c r="F27" s="138"/>
      <c r="G27" s="138"/>
      <c r="H27" s="138"/>
      <c r="I27" s="138"/>
      <c r="J27" s="138"/>
      <c r="K27" s="138"/>
      <c r="L27" s="139" t="s">
        <v>81</v>
      </c>
      <c r="M27" s="141"/>
      <c r="N27" s="137"/>
      <c r="O27" s="138"/>
      <c r="P27" s="138"/>
      <c r="Q27" s="134"/>
    </row>
    <row r="28" spans="1:18" s="84" customFormat="1" ht="48.75" x14ac:dyDescent="0.25">
      <c r="A28" s="82">
        <v>111</v>
      </c>
      <c r="C28" s="135" t="s">
        <v>88</v>
      </c>
      <c r="D28" s="136"/>
      <c r="E28" s="137"/>
      <c r="F28" s="138"/>
      <c r="G28" s="138"/>
      <c r="H28" s="138"/>
      <c r="I28" s="138"/>
      <c r="J28" s="138"/>
      <c r="K28" s="138"/>
      <c r="L28" s="139" t="s">
        <v>81</v>
      </c>
      <c r="M28" s="141"/>
      <c r="N28" s="137"/>
      <c r="O28" s="138"/>
      <c r="P28" s="138"/>
      <c r="Q28" s="134"/>
    </row>
    <row r="29" spans="1:18" s="84" customFormat="1" ht="33" x14ac:dyDescent="0.25">
      <c r="A29" s="82">
        <v>11</v>
      </c>
      <c r="C29" s="135" t="s">
        <v>89</v>
      </c>
      <c r="D29" s="136"/>
      <c r="E29" s="137"/>
      <c r="F29" s="138"/>
      <c r="G29" s="138"/>
      <c r="H29" s="138"/>
      <c r="I29" s="138"/>
      <c r="J29" s="138"/>
      <c r="K29" s="138"/>
      <c r="L29" s="139" t="s">
        <v>81</v>
      </c>
      <c r="M29" s="141"/>
      <c r="N29" s="137"/>
      <c r="O29" s="138"/>
      <c r="P29" s="138"/>
      <c r="Q29" s="134"/>
    </row>
    <row r="30" spans="1:18" s="84" customFormat="1" ht="33" x14ac:dyDescent="0.25">
      <c r="A30" s="82">
        <v>11</v>
      </c>
      <c r="C30" s="135" t="s">
        <v>90</v>
      </c>
      <c r="D30" s="136"/>
      <c r="E30" s="137"/>
      <c r="F30" s="138"/>
      <c r="G30" s="138"/>
      <c r="H30" s="138"/>
      <c r="I30" s="138"/>
      <c r="J30" s="138"/>
      <c r="K30" s="138"/>
      <c r="L30" s="139" t="s">
        <v>81</v>
      </c>
      <c r="M30" s="141"/>
      <c r="N30" s="137"/>
      <c r="O30" s="138"/>
      <c r="P30" s="138"/>
      <c r="Q30" s="134"/>
    </row>
    <row r="31" spans="1:18" s="84" customFormat="1" ht="33" x14ac:dyDescent="0.25">
      <c r="A31" s="82">
        <v>11</v>
      </c>
      <c r="C31" s="135" t="s">
        <v>91</v>
      </c>
      <c r="D31" s="136"/>
      <c r="E31" s="137"/>
      <c r="F31" s="138"/>
      <c r="G31" s="138"/>
      <c r="H31" s="138"/>
      <c r="I31" s="138"/>
      <c r="J31" s="138"/>
      <c r="K31" s="138"/>
      <c r="L31" s="139"/>
      <c r="M31" s="141"/>
      <c r="N31" s="137"/>
      <c r="O31" s="138"/>
      <c r="P31" s="138"/>
      <c r="Q31" s="134"/>
    </row>
    <row r="32" spans="1:18" s="84" customFormat="1" ht="17.25" x14ac:dyDescent="0.25">
      <c r="A32" s="82">
        <v>1</v>
      </c>
      <c r="C32" s="143" t="s">
        <v>92</v>
      </c>
      <c r="D32" s="144"/>
      <c r="E32" s="137"/>
      <c r="F32" s="138"/>
      <c r="G32" s="138"/>
      <c r="H32" s="138"/>
      <c r="I32" s="138"/>
      <c r="J32" s="138"/>
      <c r="K32" s="138"/>
      <c r="L32" s="139" t="s">
        <v>81</v>
      </c>
      <c r="M32" s="141"/>
      <c r="N32" s="137"/>
      <c r="O32" s="138"/>
      <c r="P32" s="138"/>
      <c r="Q32" s="134"/>
    </row>
    <row r="33" spans="1:18" s="84" customFormat="1" ht="17.25" x14ac:dyDescent="0.25">
      <c r="A33" s="82">
        <v>1</v>
      </c>
      <c r="C33" s="135" t="s">
        <v>93</v>
      </c>
      <c r="D33" s="136"/>
      <c r="E33" s="137"/>
      <c r="F33" s="138"/>
      <c r="G33" s="138"/>
      <c r="H33" s="138"/>
      <c r="I33" s="138"/>
      <c r="J33" s="138"/>
      <c r="K33" s="138"/>
      <c r="L33" s="139" t="s">
        <v>81</v>
      </c>
      <c r="M33" s="141"/>
      <c r="N33" s="137"/>
      <c r="O33" s="138"/>
      <c r="P33" s="138"/>
      <c r="Q33" s="134"/>
    </row>
    <row r="34" spans="1:18" s="84" customFormat="1" ht="15.75" customHeight="1" x14ac:dyDescent="0.25">
      <c r="A34" s="82"/>
      <c r="C34" s="135" t="s">
        <v>94</v>
      </c>
      <c r="D34" s="136"/>
      <c r="E34" s="137"/>
      <c r="F34" s="138"/>
      <c r="G34" s="138"/>
      <c r="H34" s="138"/>
      <c r="I34" s="138"/>
      <c r="J34" s="138"/>
      <c r="K34" s="138"/>
      <c r="L34" s="139" t="s">
        <v>81</v>
      </c>
      <c r="M34" s="141"/>
      <c r="N34" s="137"/>
      <c r="O34" s="138"/>
      <c r="P34" s="138"/>
      <c r="Q34" s="134"/>
    </row>
    <row r="35" spans="1:18" s="84" customFormat="1" ht="33" x14ac:dyDescent="0.25">
      <c r="A35" s="82">
        <v>11</v>
      </c>
      <c r="C35" s="135" t="s">
        <v>95</v>
      </c>
      <c r="D35" s="136"/>
      <c r="E35" s="137"/>
      <c r="F35" s="138"/>
      <c r="G35" s="138"/>
      <c r="H35" s="138"/>
      <c r="I35" s="138"/>
      <c r="J35" s="138"/>
      <c r="K35" s="138"/>
      <c r="L35" s="139" t="s">
        <v>81</v>
      </c>
      <c r="M35" s="141"/>
      <c r="N35" s="137"/>
      <c r="O35" s="138"/>
      <c r="P35" s="138"/>
      <c r="Q35" s="134"/>
    </row>
    <row r="36" spans="1:18" s="84" customFormat="1" ht="18" customHeight="1" x14ac:dyDescent="0.25">
      <c r="A36" s="82">
        <v>1</v>
      </c>
      <c r="C36" s="135" t="s">
        <v>96</v>
      </c>
      <c r="D36" s="136"/>
      <c r="E36" s="137"/>
      <c r="F36" s="138"/>
      <c r="G36" s="138"/>
      <c r="H36" s="138"/>
      <c r="I36" s="138"/>
      <c r="J36" s="138"/>
      <c r="K36" s="138"/>
      <c r="L36" s="139" t="s">
        <v>81</v>
      </c>
      <c r="M36" s="141"/>
      <c r="N36" s="137"/>
      <c r="O36" s="138"/>
      <c r="P36" s="138"/>
      <c r="Q36" s="134"/>
    </row>
    <row r="37" spans="1:18" s="84" customFormat="1" ht="64.5" x14ac:dyDescent="0.25">
      <c r="A37" s="82">
        <v>1111</v>
      </c>
      <c r="C37" s="135" t="s">
        <v>97</v>
      </c>
      <c r="D37" s="136"/>
      <c r="E37" s="137"/>
      <c r="F37" s="138"/>
      <c r="G37" s="138"/>
      <c r="H37" s="138"/>
      <c r="I37" s="138"/>
      <c r="J37" s="138"/>
      <c r="K37" s="138"/>
      <c r="L37" s="139" t="s">
        <v>81</v>
      </c>
      <c r="M37" s="141"/>
      <c r="N37" s="137"/>
      <c r="O37" s="138"/>
      <c r="P37" s="138"/>
      <c r="Q37" s="134"/>
    </row>
    <row r="38" spans="1:18" s="84" customFormat="1" ht="18" customHeight="1" x14ac:dyDescent="0.25">
      <c r="A38" s="82">
        <v>1</v>
      </c>
      <c r="C38" s="135" t="s">
        <v>98</v>
      </c>
      <c r="D38" s="136"/>
      <c r="E38" s="137"/>
      <c r="F38" s="138"/>
      <c r="G38" s="138"/>
      <c r="H38" s="138"/>
      <c r="I38" s="138"/>
      <c r="J38" s="138"/>
      <c r="K38" s="138"/>
      <c r="L38" s="139" t="s">
        <v>81</v>
      </c>
      <c r="M38" s="141"/>
      <c r="N38" s="137"/>
      <c r="O38" s="138"/>
      <c r="P38" s="138"/>
      <c r="Q38" s="134"/>
    </row>
    <row r="39" spans="1:18" s="88" customFormat="1" ht="18" customHeight="1" x14ac:dyDescent="0.25">
      <c r="A39" s="145">
        <v>1</v>
      </c>
      <c r="C39" s="146" t="s">
        <v>99</v>
      </c>
      <c r="D39" s="147"/>
      <c r="E39" s="148"/>
      <c r="F39" s="149"/>
      <c r="G39" s="149"/>
      <c r="H39" s="149"/>
      <c r="I39" s="149"/>
      <c r="J39" s="149"/>
      <c r="K39" s="149"/>
      <c r="L39" s="139" t="s">
        <v>81</v>
      </c>
      <c r="M39" s="150"/>
      <c r="N39" s="148"/>
      <c r="O39" s="149"/>
      <c r="P39" s="149"/>
      <c r="Q39" s="134"/>
      <c r="R39" s="84"/>
    </row>
    <row r="40" spans="1:18" s="84" customFormat="1" ht="33" x14ac:dyDescent="0.25">
      <c r="A40" s="82">
        <v>11</v>
      </c>
      <c r="C40" s="135" t="s">
        <v>100</v>
      </c>
      <c r="D40" s="136"/>
      <c r="E40" s="137"/>
      <c r="F40" s="138"/>
      <c r="G40" s="138"/>
      <c r="H40" s="138"/>
      <c r="I40" s="138"/>
      <c r="J40" s="138"/>
      <c r="K40" s="138"/>
      <c r="L40" s="139" t="s">
        <v>81</v>
      </c>
      <c r="M40" s="141"/>
      <c r="N40" s="137"/>
      <c r="O40" s="138"/>
      <c r="P40" s="138"/>
      <c r="Q40" s="134"/>
    </row>
    <row r="41" spans="1:18" s="84" customFormat="1" ht="33" x14ac:dyDescent="0.25">
      <c r="A41" s="82">
        <v>11</v>
      </c>
      <c r="C41" s="135" t="s">
        <v>101</v>
      </c>
      <c r="D41" s="136"/>
      <c r="E41" s="137"/>
      <c r="F41" s="138"/>
      <c r="G41" s="138"/>
      <c r="H41" s="138"/>
      <c r="I41" s="138"/>
      <c r="J41" s="138"/>
      <c r="K41" s="138"/>
      <c r="L41" s="139" t="s">
        <v>81</v>
      </c>
      <c r="M41" s="141"/>
      <c r="N41" s="137"/>
      <c r="O41" s="138"/>
      <c r="P41" s="138"/>
      <c r="Q41" s="134"/>
    </row>
    <row r="42" spans="1:18" s="84" customFormat="1" ht="33" x14ac:dyDescent="0.25">
      <c r="A42" s="82">
        <v>11</v>
      </c>
      <c r="C42" s="135" t="s">
        <v>102</v>
      </c>
      <c r="D42" s="136"/>
      <c r="E42" s="137"/>
      <c r="F42" s="138"/>
      <c r="G42" s="138"/>
      <c r="H42" s="138"/>
      <c r="I42" s="138"/>
      <c r="J42" s="138"/>
      <c r="K42" s="138"/>
      <c r="L42" s="142"/>
      <c r="M42" s="141"/>
      <c r="N42" s="137"/>
      <c r="O42" s="138"/>
      <c r="P42" s="138"/>
      <c r="Q42" s="134"/>
    </row>
    <row r="43" spans="1:18" s="84" customFormat="1" ht="16.5" customHeight="1" x14ac:dyDescent="0.25">
      <c r="A43" s="82"/>
      <c r="C43" s="135" t="s">
        <v>103</v>
      </c>
      <c r="D43" s="136"/>
      <c r="E43" s="137"/>
      <c r="F43" s="138"/>
      <c r="G43" s="138"/>
      <c r="H43" s="138"/>
      <c r="I43" s="138"/>
      <c r="J43" s="138"/>
      <c r="K43" s="138"/>
      <c r="L43" s="139" t="s">
        <v>81</v>
      </c>
      <c r="M43" s="141"/>
      <c r="N43" s="137"/>
      <c r="O43" s="138"/>
      <c r="P43" s="138"/>
      <c r="Q43" s="134"/>
    </row>
    <row r="44" spans="1:18" s="84" customFormat="1" ht="33" x14ac:dyDescent="0.25">
      <c r="A44" s="82">
        <v>11</v>
      </c>
      <c r="C44" s="135" t="s">
        <v>104</v>
      </c>
      <c r="D44" s="136"/>
      <c r="E44" s="137"/>
      <c r="F44" s="138"/>
      <c r="G44" s="138"/>
      <c r="H44" s="138"/>
      <c r="I44" s="138"/>
      <c r="J44" s="138"/>
      <c r="K44" s="138"/>
      <c r="L44" s="139" t="s">
        <v>81</v>
      </c>
      <c r="M44" s="141"/>
      <c r="N44" s="137"/>
      <c r="O44" s="138"/>
      <c r="P44" s="138"/>
      <c r="Q44" s="134"/>
    </row>
    <row r="45" spans="1:18" s="84" customFormat="1" ht="16.5" customHeight="1" x14ac:dyDescent="0.25">
      <c r="A45" s="82"/>
      <c r="C45" s="135" t="s">
        <v>105</v>
      </c>
      <c r="D45" s="136"/>
      <c r="E45" s="137"/>
      <c r="F45" s="138"/>
      <c r="G45" s="138"/>
      <c r="H45" s="138"/>
      <c r="I45" s="138"/>
      <c r="J45" s="138"/>
      <c r="K45" s="138"/>
      <c r="L45" s="139" t="s">
        <v>81</v>
      </c>
      <c r="M45" s="141"/>
      <c r="N45" s="137"/>
      <c r="O45" s="138"/>
      <c r="P45" s="138"/>
      <c r="Q45" s="134"/>
    </row>
    <row r="46" spans="1:18" s="84" customFormat="1" ht="33" x14ac:dyDescent="0.25">
      <c r="A46" s="82">
        <v>11</v>
      </c>
      <c r="C46" s="135" t="s">
        <v>106</v>
      </c>
      <c r="D46" s="136"/>
      <c r="E46" s="137"/>
      <c r="F46" s="138"/>
      <c r="G46" s="138"/>
      <c r="H46" s="138"/>
      <c r="I46" s="138"/>
      <c r="J46" s="138"/>
      <c r="K46" s="138"/>
      <c r="L46" s="139" t="s">
        <v>81</v>
      </c>
      <c r="M46" s="141"/>
      <c r="N46" s="137"/>
      <c r="O46" s="138"/>
      <c r="P46" s="138"/>
      <c r="Q46" s="134"/>
    </row>
    <row r="47" spans="1:18" s="84" customFormat="1" ht="48.75" x14ac:dyDescent="0.25">
      <c r="A47" s="82">
        <v>111</v>
      </c>
      <c r="C47" s="135" t="s">
        <v>107</v>
      </c>
      <c r="D47" s="136"/>
      <c r="E47" s="137"/>
      <c r="F47" s="138"/>
      <c r="G47" s="138"/>
      <c r="H47" s="138"/>
      <c r="I47" s="138"/>
      <c r="J47" s="138"/>
      <c r="K47" s="138"/>
      <c r="L47" s="139" t="s">
        <v>81</v>
      </c>
      <c r="M47" s="141"/>
      <c r="N47" s="137"/>
      <c r="O47" s="138"/>
      <c r="P47" s="138"/>
      <c r="Q47" s="134"/>
    </row>
    <row r="48" spans="1:18" s="84" customFormat="1" ht="48.75" x14ac:dyDescent="0.25">
      <c r="A48" s="82">
        <v>111</v>
      </c>
      <c r="C48" s="135" t="s">
        <v>108</v>
      </c>
      <c r="D48" s="136"/>
      <c r="E48" s="137"/>
      <c r="F48" s="138"/>
      <c r="G48" s="138"/>
      <c r="H48" s="138"/>
      <c r="I48" s="138"/>
      <c r="J48" s="138"/>
      <c r="K48" s="138"/>
      <c r="L48" s="139" t="s">
        <v>81</v>
      </c>
      <c r="M48" s="141"/>
      <c r="N48" s="137"/>
      <c r="O48" s="138"/>
      <c r="P48" s="138"/>
      <c r="Q48" s="134"/>
    </row>
    <row r="49" spans="1:18" s="84" customFormat="1" ht="16.5" customHeight="1" x14ac:dyDescent="0.25">
      <c r="A49" s="82"/>
      <c r="C49" s="135" t="s">
        <v>109</v>
      </c>
      <c r="D49" s="136"/>
      <c r="E49" s="137"/>
      <c r="F49" s="138"/>
      <c r="G49" s="138"/>
      <c r="H49" s="138"/>
      <c r="I49" s="138"/>
      <c r="J49" s="138"/>
      <c r="K49" s="138"/>
      <c r="L49" s="139" t="s">
        <v>81</v>
      </c>
      <c r="M49" s="141"/>
      <c r="N49" s="137"/>
      <c r="O49" s="138"/>
      <c r="P49" s="138"/>
      <c r="Q49" s="134"/>
    </row>
    <row r="50" spans="1:18" s="84" customFormat="1" ht="33" x14ac:dyDescent="0.25">
      <c r="A50" s="82">
        <v>11</v>
      </c>
      <c r="C50" s="135" t="s">
        <v>110</v>
      </c>
      <c r="D50" s="136"/>
      <c r="E50" s="137"/>
      <c r="F50" s="138"/>
      <c r="G50" s="138"/>
      <c r="H50" s="138"/>
      <c r="I50" s="138"/>
      <c r="J50" s="138"/>
      <c r="K50" s="138"/>
      <c r="L50" s="139" t="s">
        <v>81</v>
      </c>
      <c r="M50" s="141"/>
      <c r="N50" s="137"/>
      <c r="O50" s="138"/>
      <c r="P50" s="138"/>
      <c r="Q50" s="134"/>
    </row>
    <row r="51" spans="1:18" s="84" customFormat="1" ht="33" x14ac:dyDescent="0.25">
      <c r="A51" s="82">
        <v>11</v>
      </c>
      <c r="C51" s="135" t="s">
        <v>111</v>
      </c>
      <c r="D51" s="136"/>
      <c r="E51" s="137"/>
      <c r="F51" s="138"/>
      <c r="G51" s="138"/>
      <c r="H51" s="138"/>
      <c r="I51" s="138"/>
      <c r="J51" s="138"/>
      <c r="K51" s="138"/>
      <c r="L51" s="139" t="s">
        <v>81</v>
      </c>
      <c r="M51" s="141"/>
      <c r="N51" s="137"/>
      <c r="O51" s="138"/>
      <c r="P51" s="138"/>
      <c r="Q51" s="134"/>
    </row>
    <row r="52" spans="1:18" s="84" customFormat="1" ht="48.75" x14ac:dyDescent="0.25">
      <c r="A52" s="82">
        <v>111</v>
      </c>
      <c r="C52" s="135" t="s">
        <v>112</v>
      </c>
      <c r="D52" s="136"/>
      <c r="E52" s="137"/>
      <c r="F52" s="138"/>
      <c r="G52" s="138"/>
      <c r="H52" s="138"/>
      <c r="I52" s="138"/>
      <c r="J52" s="138"/>
      <c r="K52" s="138"/>
      <c r="L52" s="139" t="s">
        <v>81</v>
      </c>
      <c r="M52" s="141"/>
      <c r="N52" s="137"/>
      <c r="O52" s="138"/>
      <c r="P52" s="138"/>
      <c r="Q52" s="134"/>
    </row>
    <row r="53" spans="1:18" s="84" customFormat="1" ht="33" x14ac:dyDescent="0.25">
      <c r="A53" s="82">
        <v>11</v>
      </c>
      <c r="C53" s="135" t="s">
        <v>113</v>
      </c>
      <c r="D53" s="136"/>
      <c r="E53" s="137"/>
      <c r="F53" s="138"/>
      <c r="G53" s="138"/>
      <c r="H53" s="138"/>
      <c r="I53" s="138"/>
      <c r="J53" s="138"/>
      <c r="K53" s="138"/>
      <c r="L53" s="139" t="s">
        <v>81</v>
      </c>
      <c r="M53" s="141"/>
      <c r="N53" s="137"/>
      <c r="O53" s="138"/>
      <c r="P53" s="138"/>
      <c r="Q53" s="134"/>
    </row>
    <row r="54" spans="1:18" s="84" customFormat="1" ht="15.75" x14ac:dyDescent="0.25">
      <c r="A54" s="82"/>
      <c r="C54" s="135" t="s">
        <v>114</v>
      </c>
      <c r="D54" s="136"/>
      <c r="E54" s="137"/>
      <c r="F54" s="138"/>
      <c r="G54" s="138"/>
      <c r="H54" s="138"/>
      <c r="I54" s="138"/>
      <c r="J54" s="138"/>
      <c r="K54" s="138"/>
      <c r="L54" s="139" t="s">
        <v>81</v>
      </c>
      <c r="M54" s="141"/>
      <c r="N54" s="137"/>
      <c r="O54" s="138"/>
      <c r="P54" s="138"/>
      <c r="Q54" s="134"/>
    </row>
    <row r="55" spans="1:18" s="84" customFormat="1" ht="16.5" thickBot="1" x14ac:dyDescent="0.3">
      <c r="A55" s="82"/>
      <c r="C55" s="151"/>
      <c r="D55" s="152"/>
      <c r="E55" s="153"/>
      <c r="F55" s="154"/>
      <c r="G55" s="154"/>
      <c r="H55" s="154"/>
      <c r="I55" s="154"/>
      <c r="J55" s="154"/>
      <c r="K55" s="154"/>
      <c r="L55" s="155"/>
      <c r="M55" s="156"/>
      <c r="N55" s="153"/>
      <c r="O55" s="154"/>
      <c r="P55" s="154"/>
      <c r="Q55" s="134"/>
      <c r="R55"/>
    </row>
    <row r="56" spans="1:18" s="84" customFormat="1" ht="16.5" thickBot="1" x14ac:dyDescent="0.3">
      <c r="A56" s="82"/>
      <c r="C56" s="157" t="s">
        <v>115</v>
      </c>
      <c r="D56" s="157"/>
      <c r="R56"/>
    </row>
    <row r="57" spans="1:18" s="84" customFormat="1" ht="49.5" thickBot="1" x14ac:dyDescent="0.3">
      <c r="A57" s="82">
        <v>111</v>
      </c>
      <c r="C57" s="158"/>
      <c r="D57" s="159"/>
      <c r="E57" s="159"/>
      <c r="F57" s="159"/>
      <c r="G57" s="159"/>
      <c r="H57" s="159"/>
      <c r="I57" s="159"/>
      <c r="J57" s="159"/>
      <c r="K57" s="159"/>
      <c r="L57" s="159"/>
      <c r="M57" s="159"/>
      <c r="N57" s="159"/>
      <c r="O57" s="159"/>
      <c r="P57" s="159"/>
      <c r="Q57" s="160"/>
      <c r="R57"/>
    </row>
    <row r="58" spans="1:18" s="84" customFormat="1" ht="15.75" x14ac:dyDescent="0.25">
      <c r="A58" s="82"/>
      <c r="Q58" s="161"/>
      <c r="R58"/>
    </row>
    <row r="59" spans="1:18" s="84" customFormat="1" ht="15.75" x14ac:dyDescent="0.25">
      <c r="A59" s="82"/>
      <c r="Q59" s="161"/>
      <c r="R59"/>
    </row>
    <row r="60" spans="1:18" s="84" customFormat="1" ht="15.75" x14ac:dyDescent="0.25">
      <c r="A60" s="82"/>
      <c r="Q60" s="161"/>
      <c r="R60"/>
    </row>
    <row r="61" spans="1:18" s="84" customFormat="1" ht="15.75" x14ac:dyDescent="0.25">
      <c r="A61" s="82"/>
      <c r="Q61" s="161"/>
      <c r="R61"/>
    </row>
    <row r="62" spans="1:18" s="84" customFormat="1" ht="15.75" x14ac:dyDescent="0.25">
      <c r="A62" s="82"/>
      <c r="Q62" s="161"/>
      <c r="R62"/>
    </row>
  </sheetData>
  <mergeCells count="61">
    <mergeCell ref="C56:D56"/>
    <mergeCell ref="C57:Q57"/>
    <mergeCell ref="C50:D50"/>
    <mergeCell ref="C51:D51"/>
    <mergeCell ref="C52:D52"/>
    <mergeCell ref="C53:D53"/>
    <mergeCell ref="C54:D54"/>
    <mergeCell ref="C55:D55"/>
    <mergeCell ref="C44:D44"/>
    <mergeCell ref="C45:D45"/>
    <mergeCell ref="C46:D46"/>
    <mergeCell ref="C47:D47"/>
    <mergeCell ref="C48:D48"/>
    <mergeCell ref="C49:D49"/>
    <mergeCell ref="C38:D38"/>
    <mergeCell ref="C39:D39"/>
    <mergeCell ref="C40:D40"/>
    <mergeCell ref="C41:D41"/>
    <mergeCell ref="C42:D42"/>
    <mergeCell ref="C43:D43"/>
    <mergeCell ref="C32:D32"/>
    <mergeCell ref="C33:D33"/>
    <mergeCell ref="C34:D34"/>
    <mergeCell ref="C35:D35"/>
    <mergeCell ref="C36:D36"/>
    <mergeCell ref="C37:D37"/>
    <mergeCell ref="C26:D26"/>
    <mergeCell ref="C27:D27"/>
    <mergeCell ref="C28:D28"/>
    <mergeCell ref="C29:D29"/>
    <mergeCell ref="C30:D30"/>
    <mergeCell ref="C31:D31"/>
    <mergeCell ref="C20:D20"/>
    <mergeCell ref="C21:D21"/>
    <mergeCell ref="C22:D22"/>
    <mergeCell ref="C23:D23"/>
    <mergeCell ref="C24:D24"/>
    <mergeCell ref="C25:D25"/>
    <mergeCell ref="B9:C10"/>
    <mergeCell ref="D9:Q9"/>
    <mergeCell ref="D10:Q10"/>
    <mergeCell ref="B12:D12"/>
    <mergeCell ref="C18:D19"/>
    <mergeCell ref="E18:K18"/>
    <mergeCell ref="L18:M19"/>
    <mergeCell ref="N18:P18"/>
    <mergeCell ref="Q18:Q19"/>
    <mergeCell ref="H6:K6"/>
    <mergeCell ref="N6:P6"/>
    <mergeCell ref="H7:K7"/>
    <mergeCell ref="L7:M7"/>
    <mergeCell ref="N7:P7"/>
    <mergeCell ref="H8:K8"/>
    <mergeCell ref="L8:M8"/>
    <mergeCell ref="N8:P8"/>
    <mergeCell ref="D1:P1"/>
    <mergeCell ref="D2:P2"/>
    <mergeCell ref="Q2:Q4"/>
    <mergeCell ref="P3:P4"/>
    <mergeCell ref="H5:K5"/>
    <mergeCell ref="N5:P5"/>
  </mergeCells>
  <conditionalFormatting sqref="C20:D55">
    <cfRule type="duplicateValues" dxfId="1" priority="1"/>
  </conditionalFormatting>
  <conditionalFormatting sqref="C20:D54">
    <cfRule type="duplicateValues" dxfId="0" priority="2"/>
  </conditionalFormatting>
  <dataValidations count="1">
    <dataValidation type="list" allowBlank="1" showInputMessage="1" showErrorMessage="1" sqref="Q20:Q55" xr:uid="{8B6A1DB3-E0B7-44BA-A5E7-F60F6E9AB48C}">
      <formula1>$I$13:$I$15</formula1>
    </dataValidation>
  </dataValidation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761A9-69F4-4E62-968C-9B2342CAB7D8}">
  <sheetPr>
    <tabColor rgb="FFFF0000"/>
  </sheetPr>
  <dimension ref="A1:S35"/>
  <sheetViews>
    <sheetView workbookViewId="0">
      <selection activeCell="C8" sqref="C8:E8"/>
    </sheetView>
  </sheetViews>
  <sheetFormatPr baseColWidth="10" defaultRowHeight="18.75" customHeight="1" x14ac:dyDescent="0.25"/>
  <cols>
    <col min="1" max="1" width="3.7109375" style="176" customWidth="1"/>
    <col min="2" max="2" width="27.7109375" style="259" customWidth="1"/>
    <col min="3" max="3" width="15.85546875" style="239" customWidth="1"/>
    <col min="4" max="4" width="82" style="260" customWidth="1"/>
    <col min="5" max="5" width="13.7109375" style="84" customWidth="1"/>
    <col min="6" max="6" width="16.42578125" style="84" customWidth="1"/>
    <col min="7" max="7" width="22.28515625" style="84" customWidth="1"/>
    <col min="8" max="8" width="21.28515625" style="84" customWidth="1"/>
    <col min="9" max="256" width="11.42578125" style="84"/>
    <col min="257" max="257" width="3.7109375" style="84" customWidth="1"/>
    <col min="258" max="258" width="27.7109375" style="84" customWidth="1"/>
    <col min="259" max="259" width="15.85546875" style="84" customWidth="1"/>
    <col min="260" max="260" width="82" style="84" customWidth="1"/>
    <col min="261" max="261" width="13.7109375" style="84" customWidth="1"/>
    <col min="262" max="262" width="16.42578125" style="84" customWidth="1"/>
    <col min="263" max="263" width="22.28515625" style="84" customWidth="1"/>
    <col min="264" max="264" width="21.28515625" style="84" customWidth="1"/>
    <col min="265" max="512" width="11.42578125" style="84"/>
    <col min="513" max="513" width="3.7109375" style="84" customWidth="1"/>
    <col min="514" max="514" width="27.7109375" style="84" customWidth="1"/>
    <col min="515" max="515" width="15.85546875" style="84" customWidth="1"/>
    <col min="516" max="516" width="82" style="84" customWidth="1"/>
    <col min="517" max="517" width="13.7109375" style="84" customWidth="1"/>
    <col min="518" max="518" width="16.42578125" style="84" customWidth="1"/>
    <col min="519" max="519" width="22.28515625" style="84" customWidth="1"/>
    <col min="520" max="520" width="21.28515625" style="84" customWidth="1"/>
    <col min="521" max="768" width="11.42578125" style="84"/>
    <col min="769" max="769" width="3.7109375" style="84" customWidth="1"/>
    <col min="770" max="770" width="27.7109375" style="84" customWidth="1"/>
    <col min="771" max="771" width="15.85546875" style="84" customWidth="1"/>
    <col min="772" max="772" width="82" style="84" customWidth="1"/>
    <col min="773" max="773" width="13.7109375" style="84" customWidth="1"/>
    <col min="774" max="774" width="16.42578125" style="84" customWidth="1"/>
    <col min="775" max="775" width="22.28515625" style="84" customWidth="1"/>
    <col min="776" max="776" width="21.28515625" style="84" customWidth="1"/>
    <col min="777" max="1024" width="11.42578125" style="84"/>
    <col min="1025" max="1025" width="3.7109375" style="84" customWidth="1"/>
    <col min="1026" max="1026" width="27.7109375" style="84" customWidth="1"/>
    <col min="1027" max="1027" width="15.85546875" style="84" customWidth="1"/>
    <col min="1028" max="1028" width="82" style="84" customWidth="1"/>
    <col min="1029" max="1029" width="13.7109375" style="84" customWidth="1"/>
    <col min="1030" max="1030" width="16.42578125" style="84" customWidth="1"/>
    <col min="1031" max="1031" width="22.28515625" style="84" customWidth="1"/>
    <col min="1032" max="1032" width="21.28515625" style="84" customWidth="1"/>
    <col min="1033" max="1280" width="11.42578125" style="84"/>
    <col min="1281" max="1281" width="3.7109375" style="84" customWidth="1"/>
    <col min="1282" max="1282" width="27.7109375" style="84" customWidth="1"/>
    <col min="1283" max="1283" width="15.85546875" style="84" customWidth="1"/>
    <col min="1284" max="1284" width="82" style="84" customWidth="1"/>
    <col min="1285" max="1285" width="13.7109375" style="84" customWidth="1"/>
    <col min="1286" max="1286" width="16.42578125" style="84" customWidth="1"/>
    <col min="1287" max="1287" width="22.28515625" style="84" customWidth="1"/>
    <col min="1288" max="1288" width="21.28515625" style="84" customWidth="1"/>
    <col min="1289" max="1536" width="11.42578125" style="84"/>
    <col min="1537" max="1537" width="3.7109375" style="84" customWidth="1"/>
    <col min="1538" max="1538" width="27.7109375" style="84" customWidth="1"/>
    <col min="1539" max="1539" width="15.85546875" style="84" customWidth="1"/>
    <col min="1540" max="1540" width="82" style="84" customWidth="1"/>
    <col min="1541" max="1541" width="13.7109375" style="84" customWidth="1"/>
    <col min="1542" max="1542" width="16.42578125" style="84" customWidth="1"/>
    <col min="1543" max="1543" width="22.28515625" style="84" customWidth="1"/>
    <col min="1544" max="1544" width="21.28515625" style="84" customWidth="1"/>
    <col min="1545" max="1792" width="11.42578125" style="84"/>
    <col min="1793" max="1793" width="3.7109375" style="84" customWidth="1"/>
    <col min="1794" max="1794" width="27.7109375" style="84" customWidth="1"/>
    <col min="1795" max="1795" width="15.85546875" style="84" customWidth="1"/>
    <col min="1796" max="1796" width="82" style="84" customWidth="1"/>
    <col min="1797" max="1797" width="13.7109375" style="84" customWidth="1"/>
    <col min="1798" max="1798" width="16.42578125" style="84" customWidth="1"/>
    <col min="1799" max="1799" width="22.28515625" style="84" customWidth="1"/>
    <col min="1800" max="1800" width="21.28515625" style="84" customWidth="1"/>
    <col min="1801" max="2048" width="11.42578125" style="84"/>
    <col min="2049" max="2049" width="3.7109375" style="84" customWidth="1"/>
    <col min="2050" max="2050" width="27.7109375" style="84" customWidth="1"/>
    <col min="2051" max="2051" width="15.85546875" style="84" customWidth="1"/>
    <col min="2052" max="2052" width="82" style="84" customWidth="1"/>
    <col min="2053" max="2053" width="13.7109375" style="84" customWidth="1"/>
    <col min="2054" max="2054" width="16.42578125" style="84" customWidth="1"/>
    <col min="2055" max="2055" width="22.28515625" style="84" customWidth="1"/>
    <col min="2056" max="2056" width="21.28515625" style="84" customWidth="1"/>
    <col min="2057" max="2304" width="11.42578125" style="84"/>
    <col min="2305" max="2305" width="3.7109375" style="84" customWidth="1"/>
    <col min="2306" max="2306" width="27.7109375" style="84" customWidth="1"/>
    <col min="2307" max="2307" width="15.85546875" style="84" customWidth="1"/>
    <col min="2308" max="2308" width="82" style="84" customWidth="1"/>
    <col min="2309" max="2309" width="13.7109375" style="84" customWidth="1"/>
    <col min="2310" max="2310" width="16.42578125" style="84" customWidth="1"/>
    <col min="2311" max="2311" width="22.28515625" style="84" customWidth="1"/>
    <col min="2312" max="2312" width="21.28515625" style="84" customWidth="1"/>
    <col min="2313" max="2560" width="11.42578125" style="84"/>
    <col min="2561" max="2561" width="3.7109375" style="84" customWidth="1"/>
    <col min="2562" max="2562" width="27.7109375" style="84" customWidth="1"/>
    <col min="2563" max="2563" width="15.85546875" style="84" customWidth="1"/>
    <col min="2564" max="2564" width="82" style="84" customWidth="1"/>
    <col min="2565" max="2565" width="13.7109375" style="84" customWidth="1"/>
    <col min="2566" max="2566" width="16.42578125" style="84" customWidth="1"/>
    <col min="2567" max="2567" width="22.28515625" style="84" customWidth="1"/>
    <col min="2568" max="2568" width="21.28515625" style="84" customWidth="1"/>
    <col min="2569" max="2816" width="11.42578125" style="84"/>
    <col min="2817" max="2817" width="3.7109375" style="84" customWidth="1"/>
    <col min="2818" max="2818" width="27.7109375" style="84" customWidth="1"/>
    <col min="2819" max="2819" width="15.85546875" style="84" customWidth="1"/>
    <col min="2820" max="2820" width="82" style="84" customWidth="1"/>
    <col min="2821" max="2821" width="13.7109375" style="84" customWidth="1"/>
    <col min="2822" max="2822" width="16.42578125" style="84" customWidth="1"/>
    <col min="2823" max="2823" width="22.28515625" style="84" customWidth="1"/>
    <col min="2824" max="2824" width="21.28515625" style="84" customWidth="1"/>
    <col min="2825" max="3072" width="11.42578125" style="84"/>
    <col min="3073" max="3073" width="3.7109375" style="84" customWidth="1"/>
    <col min="3074" max="3074" width="27.7109375" style="84" customWidth="1"/>
    <col min="3075" max="3075" width="15.85546875" style="84" customWidth="1"/>
    <col min="3076" max="3076" width="82" style="84" customWidth="1"/>
    <col min="3077" max="3077" width="13.7109375" style="84" customWidth="1"/>
    <col min="3078" max="3078" width="16.42578125" style="84" customWidth="1"/>
    <col min="3079" max="3079" width="22.28515625" style="84" customWidth="1"/>
    <col min="3080" max="3080" width="21.28515625" style="84" customWidth="1"/>
    <col min="3081" max="3328" width="11.42578125" style="84"/>
    <col min="3329" max="3329" width="3.7109375" style="84" customWidth="1"/>
    <col min="3330" max="3330" width="27.7109375" style="84" customWidth="1"/>
    <col min="3331" max="3331" width="15.85546875" style="84" customWidth="1"/>
    <col min="3332" max="3332" width="82" style="84" customWidth="1"/>
    <col min="3333" max="3333" width="13.7109375" style="84" customWidth="1"/>
    <col min="3334" max="3334" width="16.42578125" style="84" customWidth="1"/>
    <col min="3335" max="3335" width="22.28515625" style="84" customWidth="1"/>
    <col min="3336" max="3336" width="21.28515625" style="84" customWidth="1"/>
    <col min="3337" max="3584" width="11.42578125" style="84"/>
    <col min="3585" max="3585" width="3.7109375" style="84" customWidth="1"/>
    <col min="3586" max="3586" width="27.7109375" style="84" customWidth="1"/>
    <col min="3587" max="3587" width="15.85546875" style="84" customWidth="1"/>
    <col min="3588" max="3588" width="82" style="84" customWidth="1"/>
    <col min="3589" max="3589" width="13.7109375" style="84" customWidth="1"/>
    <col min="3590" max="3590" width="16.42578125" style="84" customWidth="1"/>
    <col min="3591" max="3591" width="22.28515625" style="84" customWidth="1"/>
    <col min="3592" max="3592" width="21.28515625" style="84" customWidth="1"/>
    <col min="3593" max="3840" width="11.42578125" style="84"/>
    <col min="3841" max="3841" width="3.7109375" style="84" customWidth="1"/>
    <col min="3842" max="3842" width="27.7109375" style="84" customWidth="1"/>
    <col min="3843" max="3843" width="15.85546875" style="84" customWidth="1"/>
    <col min="3844" max="3844" width="82" style="84" customWidth="1"/>
    <col min="3845" max="3845" width="13.7109375" style="84" customWidth="1"/>
    <col min="3846" max="3846" width="16.42578125" style="84" customWidth="1"/>
    <col min="3847" max="3847" width="22.28515625" style="84" customWidth="1"/>
    <col min="3848" max="3848" width="21.28515625" style="84" customWidth="1"/>
    <col min="3849" max="4096" width="11.42578125" style="84"/>
    <col min="4097" max="4097" width="3.7109375" style="84" customWidth="1"/>
    <col min="4098" max="4098" width="27.7109375" style="84" customWidth="1"/>
    <col min="4099" max="4099" width="15.85546875" style="84" customWidth="1"/>
    <col min="4100" max="4100" width="82" style="84" customWidth="1"/>
    <col min="4101" max="4101" width="13.7109375" style="84" customWidth="1"/>
    <col min="4102" max="4102" width="16.42578125" style="84" customWidth="1"/>
    <col min="4103" max="4103" width="22.28515625" style="84" customWidth="1"/>
    <col min="4104" max="4104" width="21.28515625" style="84" customWidth="1"/>
    <col min="4105" max="4352" width="11.42578125" style="84"/>
    <col min="4353" max="4353" width="3.7109375" style="84" customWidth="1"/>
    <col min="4354" max="4354" width="27.7109375" style="84" customWidth="1"/>
    <col min="4355" max="4355" width="15.85546875" style="84" customWidth="1"/>
    <col min="4356" max="4356" width="82" style="84" customWidth="1"/>
    <col min="4357" max="4357" width="13.7109375" style="84" customWidth="1"/>
    <col min="4358" max="4358" width="16.42578125" style="84" customWidth="1"/>
    <col min="4359" max="4359" width="22.28515625" style="84" customWidth="1"/>
    <col min="4360" max="4360" width="21.28515625" style="84" customWidth="1"/>
    <col min="4361" max="4608" width="11.42578125" style="84"/>
    <col min="4609" max="4609" width="3.7109375" style="84" customWidth="1"/>
    <col min="4610" max="4610" width="27.7109375" style="84" customWidth="1"/>
    <col min="4611" max="4611" width="15.85546875" style="84" customWidth="1"/>
    <col min="4612" max="4612" width="82" style="84" customWidth="1"/>
    <col min="4613" max="4613" width="13.7109375" style="84" customWidth="1"/>
    <col min="4614" max="4614" width="16.42578125" style="84" customWidth="1"/>
    <col min="4615" max="4615" width="22.28515625" style="84" customWidth="1"/>
    <col min="4616" max="4616" width="21.28515625" style="84" customWidth="1"/>
    <col min="4617" max="4864" width="11.42578125" style="84"/>
    <col min="4865" max="4865" width="3.7109375" style="84" customWidth="1"/>
    <col min="4866" max="4866" width="27.7109375" style="84" customWidth="1"/>
    <col min="4867" max="4867" width="15.85546875" style="84" customWidth="1"/>
    <col min="4868" max="4868" width="82" style="84" customWidth="1"/>
    <col min="4869" max="4869" width="13.7109375" style="84" customWidth="1"/>
    <col min="4870" max="4870" width="16.42578125" style="84" customWidth="1"/>
    <col min="4871" max="4871" width="22.28515625" style="84" customWidth="1"/>
    <col min="4872" max="4872" width="21.28515625" style="84" customWidth="1"/>
    <col min="4873" max="5120" width="11.42578125" style="84"/>
    <col min="5121" max="5121" width="3.7109375" style="84" customWidth="1"/>
    <col min="5122" max="5122" width="27.7109375" style="84" customWidth="1"/>
    <col min="5123" max="5123" width="15.85546875" style="84" customWidth="1"/>
    <col min="5124" max="5124" width="82" style="84" customWidth="1"/>
    <col min="5125" max="5125" width="13.7109375" style="84" customWidth="1"/>
    <col min="5126" max="5126" width="16.42578125" style="84" customWidth="1"/>
    <col min="5127" max="5127" width="22.28515625" style="84" customWidth="1"/>
    <col min="5128" max="5128" width="21.28515625" style="84" customWidth="1"/>
    <col min="5129" max="5376" width="11.42578125" style="84"/>
    <col min="5377" max="5377" width="3.7109375" style="84" customWidth="1"/>
    <col min="5378" max="5378" width="27.7109375" style="84" customWidth="1"/>
    <col min="5379" max="5379" width="15.85546875" style="84" customWidth="1"/>
    <col min="5380" max="5380" width="82" style="84" customWidth="1"/>
    <col min="5381" max="5381" width="13.7109375" style="84" customWidth="1"/>
    <col min="5382" max="5382" width="16.42578125" style="84" customWidth="1"/>
    <col min="5383" max="5383" width="22.28515625" style="84" customWidth="1"/>
    <col min="5384" max="5384" width="21.28515625" style="84" customWidth="1"/>
    <col min="5385" max="5632" width="11.42578125" style="84"/>
    <col min="5633" max="5633" width="3.7109375" style="84" customWidth="1"/>
    <col min="5634" max="5634" width="27.7109375" style="84" customWidth="1"/>
    <col min="5635" max="5635" width="15.85546875" style="84" customWidth="1"/>
    <col min="5636" max="5636" width="82" style="84" customWidth="1"/>
    <col min="5637" max="5637" width="13.7109375" style="84" customWidth="1"/>
    <col min="5638" max="5638" width="16.42578125" style="84" customWidth="1"/>
    <col min="5639" max="5639" width="22.28515625" style="84" customWidth="1"/>
    <col min="5640" max="5640" width="21.28515625" style="84" customWidth="1"/>
    <col min="5641" max="5888" width="11.42578125" style="84"/>
    <col min="5889" max="5889" width="3.7109375" style="84" customWidth="1"/>
    <col min="5890" max="5890" width="27.7109375" style="84" customWidth="1"/>
    <col min="5891" max="5891" width="15.85546875" style="84" customWidth="1"/>
    <col min="5892" max="5892" width="82" style="84" customWidth="1"/>
    <col min="5893" max="5893" width="13.7109375" style="84" customWidth="1"/>
    <col min="5894" max="5894" width="16.42578125" style="84" customWidth="1"/>
    <col min="5895" max="5895" width="22.28515625" style="84" customWidth="1"/>
    <col min="5896" max="5896" width="21.28515625" style="84" customWidth="1"/>
    <col min="5897" max="6144" width="11.42578125" style="84"/>
    <col min="6145" max="6145" width="3.7109375" style="84" customWidth="1"/>
    <col min="6146" max="6146" width="27.7109375" style="84" customWidth="1"/>
    <col min="6147" max="6147" width="15.85546875" style="84" customWidth="1"/>
    <col min="6148" max="6148" width="82" style="84" customWidth="1"/>
    <col min="6149" max="6149" width="13.7109375" style="84" customWidth="1"/>
    <col min="6150" max="6150" width="16.42578125" style="84" customWidth="1"/>
    <col min="6151" max="6151" width="22.28515625" style="84" customWidth="1"/>
    <col min="6152" max="6152" width="21.28515625" style="84" customWidth="1"/>
    <col min="6153" max="6400" width="11.42578125" style="84"/>
    <col min="6401" max="6401" width="3.7109375" style="84" customWidth="1"/>
    <col min="6402" max="6402" width="27.7109375" style="84" customWidth="1"/>
    <col min="6403" max="6403" width="15.85546875" style="84" customWidth="1"/>
    <col min="6404" max="6404" width="82" style="84" customWidth="1"/>
    <col min="6405" max="6405" width="13.7109375" style="84" customWidth="1"/>
    <col min="6406" max="6406" width="16.42578125" style="84" customWidth="1"/>
    <col min="6407" max="6407" width="22.28515625" style="84" customWidth="1"/>
    <col min="6408" max="6408" width="21.28515625" style="84" customWidth="1"/>
    <col min="6409" max="6656" width="11.42578125" style="84"/>
    <col min="6657" max="6657" width="3.7109375" style="84" customWidth="1"/>
    <col min="6658" max="6658" width="27.7109375" style="84" customWidth="1"/>
    <col min="6659" max="6659" width="15.85546875" style="84" customWidth="1"/>
    <col min="6660" max="6660" width="82" style="84" customWidth="1"/>
    <col min="6661" max="6661" width="13.7109375" style="84" customWidth="1"/>
    <col min="6662" max="6662" width="16.42578125" style="84" customWidth="1"/>
    <col min="6663" max="6663" width="22.28515625" style="84" customWidth="1"/>
    <col min="6664" max="6664" width="21.28515625" style="84" customWidth="1"/>
    <col min="6665" max="6912" width="11.42578125" style="84"/>
    <col min="6913" max="6913" width="3.7109375" style="84" customWidth="1"/>
    <col min="6914" max="6914" width="27.7109375" style="84" customWidth="1"/>
    <col min="6915" max="6915" width="15.85546875" style="84" customWidth="1"/>
    <col min="6916" max="6916" width="82" style="84" customWidth="1"/>
    <col min="6917" max="6917" width="13.7109375" style="84" customWidth="1"/>
    <col min="6918" max="6918" width="16.42578125" style="84" customWidth="1"/>
    <col min="6919" max="6919" width="22.28515625" style="84" customWidth="1"/>
    <col min="6920" max="6920" width="21.28515625" style="84" customWidth="1"/>
    <col min="6921" max="7168" width="11.42578125" style="84"/>
    <col min="7169" max="7169" width="3.7109375" style="84" customWidth="1"/>
    <col min="7170" max="7170" width="27.7109375" style="84" customWidth="1"/>
    <col min="7171" max="7171" width="15.85546875" style="84" customWidth="1"/>
    <col min="7172" max="7172" width="82" style="84" customWidth="1"/>
    <col min="7173" max="7173" width="13.7109375" style="84" customWidth="1"/>
    <col min="7174" max="7174" width="16.42578125" style="84" customWidth="1"/>
    <col min="7175" max="7175" width="22.28515625" style="84" customWidth="1"/>
    <col min="7176" max="7176" width="21.28515625" style="84" customWidth="1"/>
    <col min="7177" max="7424" width="11.42578125" style="84"/>
    <col min="7425" max="7425" width="3.7109375" style="84" customWidth="1"/>
    <col min="7426" max="7426" width="27.7109375" style="84" customWidth="1"/>
    <col min="7427" max="7427" width="15.85546875" style="84" customWidth="1"/>
    <col min="7428" max="7428" width="82" style="84" customWidth="1"/>
    <col min="7429" max="7429" width="13.7109375" style="84" customWidth="1"/>
    <col min="7430" max="7430" width="16.42578125" style="84" customWidth="1"/>
    <col min="7431" max="7431" width="22.28515625" style="84" customWidth="1"/>
    <col min="7432" max="7432" width="21.28515625" style="84" customWidth="1"/>
    <col min="7433" max="7680" width="11.42578125" style="84"/>
    <col min="7681" max="7681" width="3.7109375" style="84" customWidth="1"/>
    <col min="7682" max="7682" width="27.7109375" style="84" customWidth="1"/>
    <col min="7683" max="7683" width="15.85546875" style="84" customWidth="1"/>
    <col min="7684" max="7684" width="82" style="84" customWidth="1"/>
    <col min="7685" max="7685" width="13.7109375" style="84" customWidth="1"/>
    <col min="7686" max="7686" width="16.42578125" style="84" customWidth="1"/>
    <col min="7687" max="7687" width="22.28515625" style="84" customWidth="1"/>
    <col min="7688" max="7688" width="21.28515625" style="84" customWidth="1"/>
    <col min="7689" max="7936" width="11.42578125" style="84"/>
    <col min="7937" max="7937" width="3.7109375" style="84" customWidth="1"/>
    <col min="7938" max="7938" width="27.7109375" style="84" customWidth="1"/>
    <col min="7939" max="7939" width="15.85546875" style="84" customWidth="1"/>
    <col min="7940" max="7940" width="82" style="84" customWidth="1"/>
    <col min="7941" max="7941" width="13.7109375" style="84" customWidth="1"/>
    <col min="7942" max="7942" width="16.42578125" style="84" customWidth="1"/>
    <col min="7943" max="7943" width="22.28515625" style="84" customWidth="1"/>
    <col min="7944" max="7944" width="21.28515625" style="84" customWidth="1"/>
    <col min="7945" max="8192" width="11.42578125" style="84"/>
    <col min="8193" max="8193" width="3.7109375" style="84" customWidth="1"/>
    <col min="8194" max="8194" width="27.7109375" style="84" customWidth="1"/>
    <col min="8195" max="8195" width="15.85546875" style="84" customWidth="1"/>
    <col min="8196" max="8196" width="82" style="84" customWidth="1"/>
    <col min="8197" max="8197" width="13.7109375" style="84" customWidth="1"/>
    <col min="8198" max="8198" width="16.42578125" style="84" customWidth="1"/>
    <col min="8199" max="8199" width="22.28515625" style="84" customWidth="1"/>
    <col min="8200" max="8200" width="21.28515625" style="84" customWidth="1"/>
    <col min="8201" max="8448" width="11.42578125" style="84"/>
    <col min="8449" max="8449" width="3.7109375" style="84" customWidth="1"/>
    <col min="8450" max="8450" width="27.7109375" style="84" customWidth="1"/>
    <col min="8451" max="8451" width="15.85546875" style="84" customWidth="1"/>
    <col min="8452" max="8452" width="82" style="84" customWidth="1"/>
    <col min="8453" max="8453" width="13.7109375" style="84" customWidth="1"/>
    <col min="8454" max="8454" width="16.42578125" style="84" customWidth="1"/>
    <col min="8455" max="8455" width="22.28515625" style="84" customWidth="1"/>
    <col min="8456" max="8456" width="21.28515625" style="84" customWidth="1"/>
    <col min="8457" max="8704" width="11.42578125" style="84"/>
    <col min="8705" max="8705" width="3.7109375" style="84" customWidth="1"/>
    <col min="8706" max="8706" width="27.7109375" style="84" customWidth="1"/>
    <col min="8707" max="8707" width="15.85546875" style="84" customWidth="1"/>
    <col min="8708" max="8708" width="82" style="84" customWidth="1"/>
    <col min="8709" max="8709" width="13.7109375" style="84" customWidth="1"/>
    <col min="8710" max="8710" width="16.42578125" style="84" customWidth="1"/>
    <col min="8711" max="8711" width="22.28515625" style="84" customWidth="1"/>
    <col min="8712" max="8712" width="21.28515625" style="84" customWidth="1"/>
    <col min="8713" max="8960" width="11.42578125" style="84"/>
    <col min="8961" max="8961" width="3.7109375" style="84" customWidth="1"/>
    <col min="8962" max="8962" width="27.7109375" style="84" customWidth="1"/>
    <col min="8963" max="8963" width="15.85546875" style="84" customWidth="1"/>
    <col min="8964" max="8964" width="82" style="84" customWidth="1"/>
    <col min="8965" max="8965" width="13.7109375" style="84" customWidth="1"/>
    <col min="8966" max="8966" width="16.42578125" style="84" customWidth="1"/>
    <col min="8967" max="8967" width="22.28515625" style="84" customWidth="1"/>
    <col min="8968" max="8968" width="21.28515625" style="84" customWidth="1"/>
    <col min="8969" max="9216" width="11.42578125" style="84"/>
    <col min="9217" max="9217" width="3.7109375" style="84" customWidth="1"/>
    <col min="9218" max="9218" width="27.7109375" style="84" customWidth="1"/>
    <col min="9219" max="9219" width="15.85546875" style="84" customWidth="1"/>
    <col min="9220" max="9220" width="82" style="84" customWidth="1"/>
    <col min="9221" max="9221" width="13.7109375" style="84" customWidth="1"/>
    <col min="9222" max="9222" width="16.42578125" style="84" customWidth="1"/>
    <col min="9223" max="9223" width="22.28515625" style="84" customWidth="1"/>
    <col min="9224" max="9224" width="21.28515625" style="84" customWidth="1"/>
    <col min="9225" max="9472" width="11.42578125" style="84"/>
    <col min="9473" max="9473" width="3.7109375" style="84" customWidth="1"/>
    <col min="9474" max="9474" width="27.7109375" style="84" customWidth="1"/>
    <col min="9475" max="9475" width="15.85546875" style="84" customWidth="1"/>
    <col min="9476" max="9476" width="82" style="84" customWidth="1"/>
    <col min="9477" max="9477" width="13.7109375" style="84" customWidth="1"/>
    <col min="9478" max="9478" width="16.42578125" style="84" customWidth="1"/>
    <col min="9479" max="9479" width="22.28515625" style="84" customWidth="1"/>
    <col min="9480" max="9480" width="21.28515625" style="84" customWidth="1"/>
    <col min="9481" max="9728" width="11.42578125" style="84"/>
    <col min="9729" max="9729" width="3.7109375" style="84" customWidth="1"/>
    <col min="9730" max="9730" width="27.7109375" style="84" customWidth="1"/>
    <col min="9731" max="9731" width="15.85546875" style="84" customWidth="1"/>
    <col min="9732" max="9732" width="82" style="84" customWidth="1"/>
    <col min="9733" max="9733" width="13.7109375" style="84" customWidth="1"/>
    <col min="9734" max="9734" width="16.42578125" style="84" customWidth="1"/>
    <col min="9735" max="9735" width="22.28515625" style="84" customWidth="1"/>
    <col min="9736" max="9736" width="21.28515625" style="84" customWidth="1"/>
    <col min="9737" max="9984" width="11.42578125" style="84"/>
    <col min="9985" max="9985" width="3.7109375" style="84" customWidth="1"/>
    <col min="9986" max="9986" width="27.7109375" style="84" customWidth="1"/>
    <col min="9987" max="9987" width="15.85546875" style="84" customWidth="1"/>
    <col min="9988" max="9988" width="82" style="84" customWidth="1"/>
    <col min="9989" max="9989" width="13.7109375" style="84" customWidth="1"/>
    <col min="9990" max="9990" width="16.42578125" style="84" customWidth="1"/>
    <col min="9991" max="9991" width="22.28515625" style="84" customWidth="1"/>
    <col min="9992" max="9992" width="21.28515625" style="84" customWidth="1"/>
    <col min="9993" max="10240" width="11.42578125" style="84"/>
    <col min="10241" max="10241" width="3.7109375" style="84" customWidth="1"/>
    <col min="10242" max="10242" width="27.7109375" style="84" customWidth="1"/>
    <col min="10243" max="10243" width="15.85546875" style="84" customWidth="1"/>
    <col min="10244" max="10244" width="82" style="84" customWidth="1"/>
    <col min="10245" max="10245" width="13.7109375" style="84" customWidth="1"/>
    <col min="10246" max="10246" width="16.42578125" style="84" customWidth="1"/>
    <col min="10247" max="10247" width="22.28515625" style="84" customWidth="1"/>
    <col min="10248" max="10248" width="21.28515625" style="84" customWidth="1"/>
    <col min="10249" max="10496" width="11.42578125" style="84"/>
    <col min="10497" max="10497" width="3.7109375" style="84" customWidth="1"/>
    <col min="10498" max="10498" width="27.7109375" style="84" customWidth="1"/>
    <col min="10499" max="10499" width="15.85546875" style="84" customWidth="1"/>
    <col min="10500" max="10500" width="82" style="84" customWidth="1"/>
    <col min="10501" max="10501" width="13.7109375" style="84" customWidth="1"/>
    <col min="10502" max="10502" width="16.42578125" style="84" customWidth="1"/>
    <col min="10503" max="10503" width="22.28515625" style="84" customWidth="1"/>
    <col min="10504" max="10504" width="21.28515625" style="84" customWidth="1"/>
    <col min="10505" max="10752" width="11.42578125" style="84"/>
    <col min="10753" max="10753" width="3.7109375" style="84" customWidth="1"/>
    <col min="10754" max="10754" width="27.7109375" style="84" customWidth="1"/>
    <col min="10755" max="10755" width="15.85546875" style="84" customWidth="1"/>
    <col min="10756" max="10756" width="82" style="84" customWidth="1"/>
    <col min="10757" max="10757" width="13.7109375" style="84" customWidth="1"/>
    <col min="10758" max="10758" width="16.42578125" style="84" customWidth="1"/>
    <col min="10759" max="10759" width="22.28515625" style="84" customWidth="1"/>
    <col min="10760" max="10760" width="21.28515625" style="84" customWidth="1"/>
    <col min="10761" max="11008" width="11.42578125" style="84"/>
    <col min="11009" max="11009" width="3.7109375" style="84" customWidth="1"/>
    <col min="11010" max="11010" width="27.7109375" style="84" customWidth="1"/>
    <col min="11011" max="11011" width="15.85546875" style="84" customWidth="1"/>
    <col min="11012" max="11012" width="82" style="84" customWidth="1"/>
    <col min="11013" max="11013" width="13.7109375" style="84" customWidth="1"/>
    <col min="11014" max="11014" width="16.42578125" style="84" customWidth="1"/>
    <col min="11015" max="11015" width="22.28515625" style="84" customWidth="1"/>
    <col min="11016" max="11016" width="21.28515625" style="84" customWidth="1"/>
    <col min="11017" max="11264" width="11.42578125" style="84"/>
    <col min="11265" max="11265" width="3.7109375" style="84" customWidth="1"/>
    <col min="11266" max="11266" width="27.7109375" style="84" customWidth="1"/>
    <col min="11267" max="11267" width="15.85546875" style="84" customWidth="1"/>
    <col min="11268" max="11268" width="82" style="84" customWidth="1"/>
    <col min="11269" max="11269" width="13.7109375" style="84" customWidth="1"/>
    <col min="11270" max="11270" width="16.42578125" style="84" customWidth="1"/>
    <col min="11271" max="11271" width="22.28515625" style="84" customWidth="1"/>
    <col min="11272" max="11272" width="21.28515625" style="84" customWidth="1"/>
    <col min="11273" max="11520" width="11.42578125" style="84"/>
    <col min="11521" max="11521" width="3.7109375" style="84" customWidth="1"/>
    <col min="11522" max="11522" width="27.7109375" style="84" customWidth="1"/>
    <col min="11523" max="11523" width="15.85546875" style="84" customWidth="1"/>
    <col min="11524" max="11524" width="82" style="84" customWidth="1"/>
    <col min="11525" max="11525" width="13.7109375" style="84" customWidth="1"/>
    <col min="11526" max="11526" width="16.42578125" style="84" customWidth="1"/>
    <col min="11527" max="11527" width="22.28515625" style="84" customWidth="1"/>
    <col min="11528" max="11528" width="21.28515625" style="84" customWidth="1"/>
    <col min="11529" max="11776" width="11.42578125" style="84"/>
    <col min="11777" max="11777" width="3.7109375" style="84" customWidth="1"/>
    <col min="11778" max="11778" width="27.7109375" style="84" customWidth="1"/>
    <col min="11779" max="11779" width="15.85546875" style="84" customWidth="1"/>
    <col min="11780" max="11780" width="82" style="84" customWidth="1"/>
    <col min="11781" max="11781" width="13.7109375" style="84" customWidth="1"/>
    <col min="11782" max="11782" width="16.42578125" style="84" customWidth="1"/>
    <col min="11783" max="11783" width="22.28515625" style="84" customWidth="1"/>
    <col min="11784" max="11784" width="21.28515625" style="84" customWidth="1"/>
    <col min="11785" max="12032" width="11.42578125" style="84"/>
    <col min="12033" max="12033" width="3.7109375" style="84" customWidth="1"/>
    <col min="12034" max="12034" width="27.7109375" style="84" customWidth="1"/>
    <col min="12035" max="12035" width="15.85546875" style="84" customWidth="1"/>
    <col min="12036" max="12036" width="82" style="84" customWidth="1"/>
    <col min="12037" max="12037" width="13.7109375" style="84" customWidth="1"/>
    <col min="12038" max="12038" width="16.42578125" style="84" customWidth="1"/>
    <col min="12039" max="12039" width="22.28515625" style="84" customWidth="1"/>
    <col min="12040" max="12040" width="21.28515625" style="84" customWidth="1"/>
    <col min="12041" max="12288" width="11.42578125" style="84"/>
    <col min="12289" max="12289" width="3.7109375" style="84" customWidth="1"/>
    <col min="12290" max="12290" width="27.7109375" style="84" customWidth="1"/>
    <col min="12291" max="12291" width="15.85546875" style="84" customWidth="1"/>
    <col min="12292" max="12292" width="82" style="84" customWidth="1"/>
    <col min="12293" max="12293" width="13.7109375" style="84" customWidth="1"/>
    <col min="12294" max="12294" width="16.42578125" style="84" customWidth="1"/>
    <col min="12295" max="12295" width="22.28515625" style="84" customWidth="1"/>
    <col min="12296" max="12296" width="21.28515625" style="84" customWidth="1"/>
    <col min="12297" max="12544" width="11.42578125" style="84"/>
    <col min="12545" max="12545" width="3.7109375" style="84" customWidth="1"/>
    <col min="12546" max="12546" width="27.7109375" style="84" customWidth="1"/>
    <col min="12547" max="12547" width="15.85546875" style="84" customWidth="1"/>
    <col min="12548" max="12548" width="82" style="84" customWidth="1"/>
    <col min="12549" max="12549" width="13.7109375" style="84" customWidth="1"/>
    <col min="12550" max="12550" width="16.42578125" style="84" customWidth="1"/>
    <col min="12551" max="12551" width="22.28515625" style="84" customWidth="1"/>
    <col min="12552" max="12552" width="21.28515625" style="84" customWidth="1"/>
    <col min="12553" max="12800" width="11.42578125" style="84"/>
    <col min="12801" max="12801" width="3.7109375" style="84" customWidth="1"/>
    <col min="12802" max="12802" width="27.7109375" style="84" customWidth="1"/>
    <col min="12803" max="12803" width="15.85546875" style="84" customWidth="1"/>
    <col min="12804" max="12804" width="82" style="84" customWidth="1"/>
    <col min="12805" max="12805" width="13.7109375" style="84" customWidth="1"/>
    <col min="12806" max="12806" width="16.42578125" style="84" customWidth="1"/>
    <col min="12807" max="12807" width="22.28515625" style="84" customWidth="1"/>
    <col min="12808" max="12808" width="21.28515625" style="84" customWidth="1"/>
    <col min="12809" max="13056" width="11.42578125" style="84"/>
    <col min="13057" max="13057" width="3.7109375" style="84" customWidth="1"/>
    <col min="13058" max="13058" width="27.7109375" style="84" customWidth="1"/>
    <col min="13059" max="13059" width="15.85546875" style="84" customWidth="1"/>
    <col min="13060" max="13060" width="82" style="84" customWidth="1"/>
    <col min="13061" max="13061" width="13.7109375" style="84" customWidth="1"/>
    <col min="13062" max="13062" width="16.42578125" style="84" customWidth="1"/>
    <col min="13063" max="13063" width="22.28515625" style="84" customWidth="1"/>
    <col min="13064" max="13064" width="21.28515625" style="84" customWidth="1"/>
    <col min="13065" max="13312" width="11.42578125" style="84"/>
    <col min="13313" max="13313" width="3.7109375" style="84" customWidth="1"/>
    <col min="13314" max="13314" width="27.7109375" style="84" customWidth="1"/>
    <col min="13315" max="13315" width="15.85546875" style="84" customWidth="1"/>
    <col min="13316" max="13316" width="82" style="84" customWidth="1"/>
    <col min="13317" max="13317" width="13.7109375" style="84" customWidth="1"/>
    <col min="13318" max="13318" width="16.42578125" style="84" customWidth="1"/>
    <col min="13319" max="13319" width="22.28515625" style="84" customWidth="1"/>
    <col min="13320" max="13320" width="21.28515625" style="84" customWidth="1"/>
    <col min="13321" max="13568" width="11.42578125" style="84"/>
    <col min="13569" max="13569" width="3.7109375" style="84" customWidth="1"/>
    <col min="13570" max="13570" width="27.7109375" style="84" customWidth="1"/>
    <col min="13571" max="13571" width="15.85546875" style="84" customWidth="1"/>
    <col min="13572" max="13572" width="82" style="84" customWidth="1"/>
    <col min="13573" max="13573" width="13.7109375" style="84" customWidth="1"/>
    <col min="13574" max="13574" width="16.42578125" style="84" customWidth="1"/>
    <col min="13575" max="13575" width="22.28515625" style="84" customWidth="1"/>
    <col min="13576" max="13576" width="21.28515625" style="84" customWidth="1"/>
    <col min="13577" max="13824" width="11.42578125" style="84"/>
    <col min="13825" max="13825" width="3.7109375" style="84" customWidth="1"/>
    <col min="13826" max="13826" width="27.7109375" style="84" customWidth="1"/>
    <col min="13827" max="13827" width="15.85546875" style="84" customWidth="1"/>
    <col min="13828" max="13828" width="82" style="84" customWidth="1"/>
    <col min="13829" max="13829" width="13.7109375" style="84" customWidth="1"/>
    <col min="13830" max="13830" width="16.42578125" style="84" customWidth="1"/>
    <col min="13831" max="13831" width="22.28515625" style="84" customWidth="1"/>
    <col min="13832" max="13832" width="21.28515625" style="84" customWidth="1"/>
    <col min="13833" max="14080" width="11.42578125" style="84"/>
    <col min="14081" max="14081" width="3.7109375" style="84" customWidth="1"/>
    <col min="14082" max="14082" width="27.7109375" style="84" customWidth="1"/>
    <col min="14083" max="14083" width="15.85546875" style="84" customWidth="1"/>
    <col min="14084" max="14084" width="82" style="84" customWidth="1"/>
    <col min="14085" max="14085" width="13.7109375" style="84" customWidth="1"/>
    <col min="14086" max="14086" width="16.42578125" style="84" customWidth="1"/>
    <col min="14087" max="14087" width="22.28515625" style="84" customWidth="1"/>
    <col min="14088" max="14088" width="21.28515625" style="84" customWidth="1"/>
    <col min="14089" max="14336" width="11.42578125" style="84"/>
    <col min="14337" max="14337" width="3.7109375" style="84" customWidth="1"/>
    <col min="14338" max="14338" width="27.7109375" style="84" customWidth="1"/>
    <col min="14339" max="14339" width="15.85546875" style="84" customWidth="1"/>
    <col min="14340" max="14340" width="82" style="84" customWidth="1"/>
    <col min="14341" max="14341" width="13.7109375" style="84" customWidth="1"/>
    <col min="14342" max="14342" width="16.42578125" style="84" customWidth="1"/>
    <col min="14343" max="14343" width="22.28515625" style="84" customWidth="1"/>
    <col min="14344" max="14344" width="21.28515625" style="84" customWidth="1"/>
    <col min="14345" max="14592" width="11.42578125" style="84"/>
    <col min="14593" max="14593" width="3.7109375" style="84" customWidth="1"/>
    <col min="14594" max="14594" width="27.7109375" style="84" customWidth="1"/>
    <col min="14595" max="14595" width="15.85546875" style="84" customWidth="1"/>
    <col min="14596" max="14596" width="82" style="84" customWidth="1"/>
    <col min="14597" max="14597" width="13.7109375" style="84" customWidth="1"/>
    <col min="14598" max="14598" width="16.42578125" style="84" customWidth="1"/>
    <col min="14599" max="14599" width="22.28515625" style="84" customWidth="1"/>
    <col min="14600" max="14600" width="21.28515625" style="84" customWidth="1"/>
    <col min="14601" max="14848" width="11.42578125" style="84"/>
    <col min="14849" max="14849" width="3.7109375" style="84" customWidth="1"/>
    <col min="14850" max="14850" width="27.7109375" style="84" customWidth="1"/>
    <col min="14851" max="14851" width="15.85546875" style="84" customWidth="1"/>
    <col min="14852" max="14852" width="82" style="84" customWidth="1"/>
    <col min="14853" max="14853" width="13.7109375" style="84" customWidth="1"/>
    <col min="14854" max="14854" width="16.42578125" style="84" customWidth="1"/>
    <col min="14855" max="14855" width="22.28515625" style="84" customWidth="1"/>
    <col min="14856" max="14856" width="21.28515625" style="84" customWidth="1"/>
    <col min="14857" max="15104" width="11.42578125" style="84"/>
    <col min="15105" max="15105" width="3.7109375" style="84" customWidth="1"/>
    <col min="15106" max="15106" width="27.7109375" style="84" customWidth="1"/>
    <col min="15107" max="15107" width="15.85546875" style="84" customWidth="1"/>
    <col min="15108" max="15108" width="82" style="84" customWidth="1"/>
    <col min="15109" max="15109" width="13.7109375" style="84" customWidth="1"/>
    <col min="15110" max="15110" width="16.42578125" style="84" customWidth="1"/>
    <col min="15111" max="15111" width="22.28515625" style="84" customWidth="1"/>
    <col min="15112" max="15112" width="21.28515625" style="84" customWidth="1"/>
    <col min="15113" max="15360" width="11.42578125" style="84"/>
    <col min="15361" max="15361" width="3.7109375" style="84" customWidth="1"/>
    <col min="15362" max="15362" width="27.7109375" style="84" customWidth="1"/>
    <col min="15363" max="15363" width="15.85546875" style="84" customWidth="1"/>
    <col min="15364" max="15364" width="82" style="84" customWidth="1"/>
    <col min="15365" max="15365" width="13.7109375" style="84" customWidth="1"/>
    <col min="15366" max="15366" width="16.42578125" style="84" customWidth="1"/>
    <col min="15367" max="15367" width="22.28515625" style="84" customWidth="1"/>
    <col min="15368" max="15368" width="21.28515625" style="84" customWidth="1"/>
    <col min="15369" max="15616" width="11.42578125" style="84"/>
    <col min="15617" max="15617" width="3.7109375" style="84" customWidth="1"/>
    <col min="15618" max="15618" width="27.7109375" style="84" customWidth="1"/>
    <col min="15619" max="15619" width="15.85546875" style="84" customWidth="1"/>
    <col min="15620" max="15620" width="82" style="84" customWidth="1"/>
    <col min="15621" max="15621" width="13.7109375" style="84" customWidth="1"/>
    <col min="15622" max="15622" width="16.42578125" style="84" customWidth="1"/>
    <col min="15623" max="15623" width="22.28515625" style="84" customWidth="1"/>
    <col min="15624" max="15624" width="21.28515625" style="84" customWidth="1"/>
    <col min="15625" max="15872" width="11.42578125" style="84"/>
    <col min="15873" max="15873" width="3.7109375" style="84" customWidth="1"/>
    <col min="15874" max="15874" width="27.7109375" style="84" customWidth="1"/>
    <col min="15875" max="15875" width="15.85546875" style="84" customWidth="1"/>
    <col min="15876" max="15876" width="82" style="84" customWidth="1"/>
    <col min="15877" max="15877" width="13.7109375" style="84" customWidth="1"/>
    <col min="15878" max="15878" width="16.42578125" style="84" customWidth="1"/>
    <col min="15879" max="15879" width="22.28515625" style="84" customWidth="1"/>
    <col min="15880" max="15880" width="21.28515625" style="84" customWidth="1"/>
    <col min="15881" max="16128" width="11.42578125" style="84"/>
    <col min="16129" max="16129" width="3.7109375" style="84" customWidth="1"/>
    <col min="16130" max="16130" width="27.7109375" style="84" customWidth="1"/>
    <col min="16131" max="16131" width="15.85546875" style="84" customWidth="1"/>
    <col min="16132" max="16132" width="82" style="84" customWidth="1"/>
    <col min="16133" max="16133" width="13.7109375" style="84" customWidth="1"/>
    <col min="16134" max="16134" width="16.42578125" style="84" customWidth="1"/>
    <col min="16135" max="16135" width="22.28515625" style="84" customWidth="1"/>
    <col min="16136" max="16136" width="21.28515625" style="84" customWidth="1"/>
    <col min="16137" max="16384" width="11.42578125" style="84"/>
  </cols>
  <sheetData>
    <row r="1" spans="1:19" s="169" customFormat="1" ht="32.25" customHeight="1" x14ac:dyDescent="0.3">
      <c r="A1" s="163"/>
      <c r="B1" s="164"/>
      <c r="C1" s="165" t="s">
        <v>116</v>
      </c>
      <c r="D1" s="165"/>
      <c r="E1" s="166" t="s">
        <v>117</v>
      </c>
      <c r="F1" s="167"/>
      <c r="G1" s="167"/>
      <c r="H1" s="167"/>
      <c r="I1" s="168"/>
      <c r="J1" s="168"/>
      <c r="K1" s="168"/>
      <c r="L1" s="168"/>
      <c r="M1" s="168"/>
      <c r="N1" s="168"/>
      <c r="O1" s="168"/>
      <c r="P1" s="168"/>
      <c r="Q1" s="168"/>
      <c r="R1" s="168"/>
      <c r="S1" s="168"/>
    </row>
    <row r="2" spans="1:19" s="169" customFormat="1" ht="31.5" customHeight="1" thickBot="1" x14ac:dyDescent="0.3">
      <c r="A2" s="163"/>
      <c r="B2" s="170"/>
      <c r="C2" s="171" t="s">
        <v>118</v>
      </c>
      <c r="D2" s="171"/>
      <c r="E2" s="172"/>
      <c r="F2" s="173"/>
      <c r="G2" s="173"/>
      <c r="H2" s="174"/>
      <c r="I2" s="175"/>
      <c r="J2" s="175"/>
      <c r="K2" s="175"/>
      <c r="L2" s="175"/>
      <c r="M2" s="175"/>
      <c r="N2" s="175"/>
      <c r="O2" s="175"/>
      <c r="P2" s="175"/>
      <c r="Q2" s="175"/>
      <c r="R2" s="175"/>
      <c r="S2" s="175"/>
    </row>
    <row r="3" spans="1:19" ht="18.75" customHeight="1" x14ac:dyDescent="0.25">
      <c r="B3" s="177" t="s">
        <v>6</v>
      </c>
      <c r="C3" s="178" t="s">
        <v>35</v>
      </c>
      <c r="D3" s="179">
        <v>45162</v>
      </c>
      <c r="E3" s="180"/>
      <c r="F3" s="181"/>
      <c r="G3" s="181"/>
      <c r="H3" s="181"/>
    </row>
    <row r="4" spans="1:19" ht="18.75" customHeight="1" x14ac:dyDescent="0.25">
      <c r="B4" s="182"/>
      <c r="C4" s="183" t="s">
        <v>119</v>
      </c>
      <c r="D4" s="184">
        <f>+D3+100</f>
        <v>45262</v>
      </c>
      <c r="E4" s="185"/>
      <c r="F4" s="181"/>
      <c r="G4" s="181"/>
      <c r="H4" s="181"/>
    </row>
    <row r="5" spans="1:19" ht="18.75" customHeight="1" x14ac:dyDescent="0.25">
      <c r="B5" s="186" t="s">
        <v>120</v>
      </c>
      <c r="C5" s="187" t="s">
        <v>121</v>
      </c>
      <c r="D5" s="188"/>
      <c r="E5" s="189"/>
      <c r="F5" s="190"/>
      <c r="G5" s="190"/>
      <c r="H5" s="190"/>
    </row>
    <row r="6" spans="1:19" ht="18.75" customHeight="1" x14ac:dyDescent="0.25">
      <c r="B6" s="186" t="s">
        <v>122</v>
      </c>
      <c r="C6" s="187" t="s">
        <v>123</v>
      </c>
      <c r="D6" s="188"/>
      <c r="E6" s="189"/>
      <c r="F6" s="190"/>
      <c r="G6" s="190"/>
      <c r="H6" s="190"/>
    </row>
    <row r="7" spans="1:19" ht="18.75" customHeight="1" x14ac:dyDescent="0.25">
      <c r="B7" s="186" t="s">
        <v>124</v>
      </c>
      <c r="C7" s="187" t="s">
        <v>125</v>
      </c>
      <c r="D7" s="188"/>
      <c r="E7" s="189"/>
      <c r="F7" s="191"/>
      <c r="G7" s="191"/>
      <c r="H7" s="191"/>
    </row>
    <row r="8" spans="1:19" ht="18.75" customHeight="1" x14ac:dyDescent="0.25">
      <c r="B8" s="186" t="s">
        <v>44</v>
      </c>
      <c r="C8" s="187" t="s">
        <v>126</v>
      </c>
      <c r="D8" s="188"/>
      <c r="E8" s="189"/>
      <c r="F8" s="191"/>
      <c r="G8" s="191"/>
      <c r="H8" s="191"/>
    </row>
    <row r="9" spans="1:19" ht="18.75" customHeight="1" x14ac:dyDescent="0.25">
      <c r="B9" s="186" t="s">
        <v>127</v>
      </c>
      <c r="C9" s="187" t="s">
        <v>128</v>
      </c>
      <c r="D9" s="188"/>
      <c r="E9" s="189"/>
      <c r="F9" s="191"/>
      <c r="G9" s="191"/>
      <c r="H9" s="191"/>
    </row>
    <row r="10" spans="1:19" ht="18.75" customHeight="1" x14ac:dyDescent="0.25">
      <c r="B10" s="186" t="s">
        <v>129</v>
      </c>
      <c r="C10" s="187" t="s">
        <v>130</v>
      </c>
      <c r="D10" s="188"/>
      <c r="E10" s="189"/>
      <c r="F10" s="190"/>
      <c r="G10" s="190"/>
      <c r="H10" s="190"/>
    </row>
    <row r="11" spans="1:19" ht="18.75" customHeight="1" x14ac:dyDescent="0.25">
      <c r="B11" s="186" t="s">
        <v>131</v>
      </c>
      <c r="C11" s="192" t="s">
        <v>132</v>
      </c>
      <c r="D11" s="193"/>
      <c r="E11" s="194"/>
      <c r="F11" s="191"/>
      <c r="G11" s="191"/>
      <c r="H11" s="191"/>
    </row>
    <row r="12" spans="1:19" ht="18.75" customHeight="1" thickBot="1" x14ac:dyDescent="0.3">
      <c r="B12" s="195" t="s">
        <v>133</v>
      </c>
      <c r="C12" s="196">
        <v>100000</v>
      </c>
      <c r="D12" s="197"/>
      <c r="E12" s="198"/>
      <c r="F12" s="199"/>
      <c r="G12" s="199"/>
      <c r="H12" s="199"/>
    </row>
    <row r="13" spans="1:19" ht="18.75" customHeight="1" thickBot="1" x14ac:dyDescent="0.3">
      <c r="B13" s="200" t="s">
        <v>134</v>
      </c>
      <c r="C13" s="201" t="s">
        <v>135</v>
      </c>
      <c r="D13" s="202" t="s">
        <v>136</v>
      </c>
      <c r="E13" s="203" t="s">
        <v>137</v>
      </c>
      <c r="F13" s="199"/>
      <c r="G13" s="199"/>
      <c r="H13" s="199"/>
    </row>
    <row r="14" spans="1:19" ht="18.75" customHeight="1" x14ac:dyDescent="0.25">
      <c r="B14" s="200"/>
      <c r="C14" s="204" t="s">
        <v>138</v>
      </c>
      <c r="D14" s="205" t="s">
        <v>139</v>
      </c>
      <c r="E14" s="206">
        <v>40000</v>
      </c>
      <c r="F14" s="207"/>
      <c r="G14" s="207"/>
      <c r="H14" s="207"/>
    </row>
    <row r="15" spans="1:19" ht="18.75" customHeight="1" x14ac:dyDescent="0.25">
      <c r="B15" s="200"/>
      <c r="C15" s="204"/>
      <c r="D15" s="205"/>
      <c r="E15" s="206">
        <v>0</v>
      </c>
      <c r="F15" s="207"/>
      <c r="G15" s="207"/>
      <c r="H15" s="207"/>
    </row>
    <row r="16" spans="1:19" ht="18.75" customHeight="1" x14ac:dyDescent="0.25">
      <c r="B16" s="200"/>
      <c r="C16" s="204"/>
      <c r="D16" s="205"/>
      <c r="E16" s="208"/>
      <c r="F16" s="207"/>
      <c r="G16" s="207"/>
      <c r="H16" s="207"/>
    </row>
    <row r="17" spans="1:8" ht="18.75" customHeight="1" x14ac:dyDescent="0.25">
      <c r="B17" s="186" t="s">
        <v>140</v>
      </c>
      <c r="C17" s="209">
        <f>SUM(E14:E16)</f>
        <v>40000</v>
      </c>
      <c r="D17" s="188"/>
      <c r="E17" s="189"/>
      <c r="F17" s="199"/>
      <c r="G17" s="199"/>
      <c r="H17" s="199"/>
    </row>
    <row r="18" spans="1:8" ht="18.75" customHeight="1" x14ac:dyDescent="0.25">
      <c r="B18" s="186" t="s">
        <v>141</v>
      </c>
      <c r="C18" s="210">
        <f>+C17/C12</f>
        <v>0.4</v>
      </c>
      <c r="D18" s="211"/>
      <c r="E18" s="212"/>
      <c r="F18" s="213"/>
      <c r="G18" s="213"/>
      <c r="H18" s="213"/>
    </row>
    <row r="19" spans="1:8" ht="18.75" customHeight="1" x14ac:dyDescent="0.25">
      <c r="B19" s="186" t="s">
        <v>142</v>
      </c>
      <c r="C19" s="187">
        <v>1</v>
      </c>
      <c r="D19" s="188"/>
      <c r="E19" s="189"/>
      <c r="F19" s="190"/>
      <c r="G19" s="190"/>
      <c r="H19" s="190"/>
    </row>
    <row r="20" spans="1:8" ht="18.75" customHeight="1" x14ac:dyDescent="0.25">
      <c r="B20" s="182" t="s">
        <v>143</v>
      </c>
      <c r="C20" s="214" t="s">
        <v>144</v>
      </c>
      <c r="D20" s="215"/>
      <c r="E20" s="216"/>
      <c r="F20" s="190"/>
      <c r="G20" s="190"/>
      <c r="H20" s="190"/>
    </row>
    <row r="21" spans="1:8" ht="18.75" customHeight="1" x14ac:dyDescent="0.25">
      <c r="B21" s="182"/>
      <c r="C21" s="214" t="s">
        <v>145</v>
      </c>
      <c r="D21" s="217" t="s">
        <v>146</v>
      </c>
      <c r="E21" s="216"/>
      <c r="F21" s="190"/>
      <c r="G21" s="190"/>
      <c r="H21" s="190"/>
    </row>
    <row r="22" spans="1:8" ht="18.75" customHeight="1" x14ac:dyDescent="0.25">
      <c r="B22" s="182"/>
      <c r="C22" s="214" t="s">
        <v>147</v>
      </c>
      <c r="D22" s="215"/>
      <c r="E22" s="216"/>
      <c r="F22" s="190"/>
      <c r="G22" s="190"/>
      <c r="H22" s="190"/>
    </row>
    <row r="23" spans="1:8" ht="18.75" customHeight="1" x14ac:dyDescent="0.25">
      <c r="B23" s="186" t="s">
        <v>148</v>
      </c>
      <c r="C23" s="218" t="s">
        <v>149</v>
      </c>
      <c r="D23" s="219"/>
      <c r="E23" s="220"/>
      <c r="F23" s="190"/>
      <c r="G23" s="190"/>
      <c r="H23" s="190"/>
    </row>
    <row r="24" spans="1:8" ht="18.75" customHeight="1" x14ac:dyDescent="0.25">
      <c r="B24" s="186" t="s">
        <v>50</v>
      </c>
      <c r="C24" s="218" t="s">
        <v>150</v>
      </c>
      <c r="D24" s="219"/>
      <c r="E24" s="220"/>
      <c r="F24" s="190"/>
      <c r="G24" s="190"/>
      <c r="H24" s="190"/>
    </row>
    <row r="25" spans="1:8" ht="18.75" customHeight="1" thickBot="1" x14ac:dyDescent="0.3">
      <c r="B25" s="221" t="s">
        <v>151</v>
      </c>
      <c r="C25" s="222">
        <v>4</v>
      </c>
      <c r="D25" s="223"/>
      <c r="E25" s="216" t="s">
        <v>152</v>
      </c>
      <c r="F25" s="190"/>
      <c r="G25" s="190"/>
      <c r="H25" s="190"/>
    </row>
    <row r="26" spans="1:8" ht="33" x14ac:dyDescent="0.25">
      <c r="A26" s="176" t="s">
        <v>153</v>
      </c>
      <c r="B26" s="224" t="s">
        <v>154</v>
      </c>
      <c r="C26" s="225" t="s">
        <v>155</v>
      </c>
      <c r="D26" s="226"/>
      <c r="E26" s="227"/>
      <c r="F26" s="190"/>
      <c r="G26" s="190"/>
      <c r="H26" s="190"/>
    </row>
    <row r="27" spans="1:8" ht="15.75" x14ac:dyDescent="0.25">
      <c r="B27" s="228" t="s">
        <v>156</v>
      </c>
      <c r="C27" s="229">
        <v>32</v>
      </c>
      <c r="D27" s="219"/>
      <c r="E27" s="220"/>
      <c r="F27" s="230"/>
      <c r="G27" s="230"/>
      <c r="H27" s="230"/>
    </row>
    <row r="28" spans="1:8" ht="22.5" customHeight="1" x14ac:dyDescent="0.25">
      <c r="A28" s="176" t="s">
        <v>153</v>
      </c>
      <c r="B28" s="228" t="s">
        <v>157</v>
      </c>
      <c r="C28" s="231" t="s">
        <v>158</v>
      </c>
      <c r="D28" s="232"/>
      <c r="E28" s="233"/>
      <c r="F28" s="230"/>
      <c r="G28" s="230"/>
      <c r="H28" s="230"/>
    </row>
    <row r="29" spans="1:8" ht="64.5" x14ac:dyDescent="0.25">
      <c r="A29" s="176" t="s">
        <v>159</v>
      </c>
      <c r="B29" s="228" t="s">
        <v>160</v>
      </c>
      <c r="C29" s="229" t="s">
        <v>161</v>
      </c>
      <c r="D29" s="219"/>
      <c r="E29" s="220"/>
      <c r="F29" s="234"/>
      <c r="G29" s="234"/>
      <c r="H29" s="234"/>
    </row>
    <row r="30" spans="1:8" ht="15.75" x14ac:dyDescent="0.25">
      <c r="B30" s="235" t="s">
        <v>162</v>
      </c>
      <c r="C30" s="236" t="s">
        <v>163</v>
      </c>
      <c r="D30" s="237"/>
      <c r="E30" s="238"/>
      <c r="F30" s="239"/>
      <c r="G30" s="239"/>
      <c r="H30" s="239"/>
    </row>
    <row r="31" spans="1:8" ht="16.5" thickBot="1" x14ac:dyDescent="0.3">
      <c r="B31" s="240"/>
      <c r="C31" s="236" t="s">
        <v>164</v>
      </c>
      <c r="D31" s="241" t="s">
        <v>146</v>
      </c>
      <c r="E31" s="238"/>
      <c r="F31" s="239"/>
      <c r="G31" s="239"/>
      <c r="H31" s="239"/>
    </row>
    <row r="32" spans="1:8" ht="18.75" customHeight="1" x14ac:dyDescent="0.25">
      <c r="B32" s="242" t="s">
        <v>165</v>
      </c>
      <c r="C32" s="243" t="s">
        <v>166</v>
      </c>
      <c r="D32" s="244"/>
      <c r="E32" s="245" t="s">
        <v>167</v>
      </c>
      <c r="F32" s="246"/>
      <c r="G32" s="246"/>
      <c r="H32" s="246"/>
    </row>
    <row r="33" spans="1:8" ht="127.5" x14ac:dyDescent="0.25">
      <c r="A33" s="176" t="s">
        <v>168</v>
      </c>
      <c r="B33" s="247" t="s">
        <v>169</v>
      </c>
      <c r="C33" s="248" t="s">
        <v>170</v>
      </c>
      <c r="D33" s="249"/>
      <c r="E33" s="245"/>
      <c r="F33" s="250"/>
      <c r="G33" s="250"/>
      <c r="H33" s="250"/>
    </row>
    <row r="34" spans="1:8" ht="15.75" x14ac:dyDescent="0.25">
      <c r="B34" s="251" t="s">
        <v>165</v>
      </c>
      <c r="C34" s="252" t="s">
        <v>171</v>
      </c>
      <c r="D34" s="253"/>
      <c r="E34" s="254" t="s">
        <v>172</v>
      </c>
      <c r="F34" s="246"/>
      <c r="G34" s="246"/>
      <c r="H34" s="246"/>
    </row>
    <row r="35" spans="1:8" ht="81" thickBot="1" x14ac:dyDescent="0.3">
      <c r="A35" s="176" t="s">
        <v>173</v>
      </c>
      <c r="B35" s="255" t="s">
        <v>174</v>
      </c>
      <c r="C35" s="256" t="s">
        <v>175</v>
      </c>
      <c r="D35" s="257"/>
      <c r="E35" s="258"/>
      <c r="F35" s="250"/>
      <c r="G35" s="250"/>
      <c r="H35" s="250"/>
    </row>
  </sheetData>
  <mergeCells count="33">
    <mergeCell ref="C34:D34"/>
    <mergeCell ref="E34:E35"/>
    <mergeCell ref="C35:D35"/>
    <mergeCell ref="C28:E28"/>
    <mergeCell ref="C29:E29"/>
    <mergeCell ref="B30:B31"/>
    <mergeCell ref="C32:D32"/>
    <mergeCell ref="E32:E33"/>
    <mergeCell ref="C33:D33"/>
    <mergeCell ref="B20:B22"/>
    <mergeCell ref="C23:E23"/>
    <mergeCell ref="C24:E24"/>
    <mergeCell ref="C25:D25"/>
    <mergeCell ref="C26:E26"/>
    <mergeCell ref="C27:E27"/>
    <mergeCell ref="C11:E11"/>
    <mergeCell ref="C12:E12"/>
    <mergeCell ref="B13:B16"/>
    <mergeCell ref="C17:E17"/>
    <mergeCell ref="C18:E18"/>
    <mergeCell ref="C19:E19"/>
    <mergeCell ref="C5:E5"/>
    <mergeCell ref="C6:E6"/>
    <mergeCell ref="C7:E7"/>
    <mergeCell ref="C8:E8"/>
    <mergeCell ref="C9:E9"/>
    <mergeCell ref="C10:E10"/>
    <mergeCell ref="C1:D1"/>
    <mergeCell ref="E1:E2"/>
    <mergeCell ref="C2:D2"/>
    <mergeCell ref="B3:B4"/>
    <mergeCell ref="D3:E3"/>
    <mergeCell ref="D4:E4"/>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D432A-1C0A-4CFF-8C8E-A80FA293AE05}">
  <dimension ref="A1:J32"/>
  <sheetViews>
    <sheetView workbookViewId="0">
      <selection activeCell="I11" sqref="I11"/>
    </sheetView>
  </sheetViews>
  <sheetFormatPr baseColWidth="10" defaultRowHeight="15" x14ac:dyDescent="0.25"/>
  <cols>
    <col min="1" max="1" width="52" customWidth="1"/>
    <col min="2" max="4" width="14.140625" customWidth="1"/>
    <col min="5" max="5" width="13.7109375" customWidth="1"/>
    <col min="6" max="6" width="14.140625" customWidth="1"/>
    <col min="7" max="8" width="13.140625" bestFit="1" customWidth="1"/>
  </cols>
  <sheetData>
    <row r="1" spans="1:10" x14ac:dyDescent="0.25">
      <c r="A1" s="64" t="s">
        <v>3</v>
      </c>
      <c r="B1" s="65"/>
      <c r="C1" s="65"/>
      <c r="D1" s="65"/>
      <c r="E1" s="65"/>
      <c r="F1" s="66"/>
    </row>
    <row r="2" spans="1:10" ht="18.75" x14ac:dyDescent="0.3">
      <c r="A2" s="67" t="s">
        <v>178</v>
      </c>
      <c r="B2" s="68"/>
      <c r="C2" s="68"/>
      <c r="D2" s="68"/>
      <c r="E2" s="68"/>
      <c r="F2" s="69"/>
    </row>
    <row r="3" spans="1:10" ht="15.75" x14ac:dyDescent="0.25">
      <c r="A3" s="73" t="s">
        <v>26</v>
      </c>
      <c r="B3" s="74"/>
      <c r="C3" s="74"/>
      <c r="D3" s="74"/>
      <c r="E3" s="74"/>
      <c r="F3" s="75"/>
    </row>
    <row r="4" spans="1:10" x14ac:dyDescent="0.25">
      <c r="A4" s="70" t="s">
        <v>2</v>
      </c>
      <c r="B4" s="71"/>
      <c r="C4" s="71"/>
      <c r="D4" s="71"/>
      <c r="E4" s="71"/>
      <c r="F4" s="72"/>
    </row>
    <row r="5" spans="1:10" ht="30" x14ac:dyDescent="0.25">
      <c r="A5" s="3"/>
      <c r="B5" s="42" t="s">
        <v>4</v>
      </c>
      <c r="C5" s="42"/>
      <c r="D5" s="43"/>
      <c r="E5" s="43"/>
      <c r="F5" s="6"/>
    </row>
    <row r="6" spans="1:10" ht="15.75" thickBot="1" x14ac:dyDescent="0.3">
      <c r="A6" s="3"/>
      <c r="B6" s="44" t="s">
        <v>5</v>
      </c>
      <c r="C6" s="40" t="s">
        <v>13</v>
      </c>
      <c r="D6" s="43"/>
      <c r="E6" s="45" t="s">
        <v>6</v>
      </c>
      <c r="F6" s="46">
        <v>45163</v>
      </c>
    </row>
    <row r="7" spans="1:10" ht="15.75" thickBot="1" x14ac:dyDescent="0.3">
      <c r="A7" s="5"/>
      <c r="B7" s="44" t="s">
        <v>7</v>
      </c>
      <c r="C7" s="41"/>
      <c r="D7" s="43"/>
      <c r="E7" s="45" t="s">
        <v>6</v>
      </c>
      <c r="F7" s="47">
        <f>+F6+2</f>
        <v>45165</v>
      </c>
    </row>
    <row r="8" spans="1:10" ht="15.75" thickBot="1" x14ac:dyDescent="0.3">
      <c r="A8" s="7"/>
      <c r="B8" s="8"/>
      <c r="C8" s="8"/>
      <c r="D8" s="8"/>
      <c r="E8" s="8"/>
      <c r="F8" s="9"/>
    </row>
    <row r="9" spans="1:10" s="4" customFormat="1" ht="24" customHeight="1" thickBot="1" x14ac:dyDescent="0.25">
      <c r="G9" s="10"/>
    </row>
    <row r="10" spans="1:10" ht="15.75" thickBot="1" x14ac:dyDescent="0.3">
      <c r="A10" s="33"/>
      <c r="B10" s="11" t="s">
        <v>15</v>
      </c>
      <c r="C10" s="11" t="s">
        <v>16</v>
      </c>
      <c r="D10" s="11" t="s">
        <v>17</v>
      </c>
      <c r="E10" s="11" t="s">
        <v>18</v>
      </c>
      <c r="F10" s="12" t="s">
        <v>19</v>
      </c>
      <c r="G10" s="62" t="s">
        <v>0</v>
      </c>
      <c r="H10" s="13"/>
      <c r="I10" s="13"/>
      <c r="J10" s="13"/>
    </row>
    <row r="11" spans="1:10" ht="30.75" thickBot="1" x14ac:dyDescent="0.3">
      <c r="A11" s="38" t="s">
        <v>1</v>
      </c>
      <c r="B11" s="14" t="s">
        <v>20</v>
      </c>
      <c r="C11" s="14" t="s">
        <v>21</v>
      </c>
      <c r="D11" s="14" t="s">
        <v>22</v>
      </c>
      <c r="E11" s="31" t="s">
        <v>23</v>
      </c>
      <c r="F11" s="15" t="s">
        <v>24</v>
      </c>
      <c r="G11" s="63"/>
      <c r="H11" s="16"/>
      <c r="I11" s="16"/>
      <c r="J11" s="16"/>
    </row>
    <row r="12" spans="1:10" x14ac:dyDescent="0.25">
      <c r="A12" s="34" t="s">
        <v>176</v>
      </c>
      <c r="B12" s="51"/>
      <c r="C12" s="54"/>
      <c r="D12" s="57"/>
      <c r="E12" s="54"/>
      <c r="F12" s="54"/>
      <c r="G12" s="17">
        <f>SUM(B12:F12)</f>
        <v>0</v>
      </c>
      <c r="I12" s="18"/>
    </row>
    <row r="13" spans="1:10" ht="16.5" x14ac:dyDescent="0.25">
      <c r="A13" s="35" t="s">
        <v>8</v>
      </c>
      <c r="B13" s="52"/>
      <c r="C13" s="55"/>
      <c r="D13" s="58"/>
      <c r="E13" s="55"/>
      <c r="F13" s="60"/>
      <c r="G13" s="17">
        <f>SUM(B13:F13)</f>
        <v>0</v>
      </c>
    </row>
    <row r="14" spans="1:10" x14ac:dyDescent="0.25">
      <c r="A14" s="35" t="s">
        <v>9</v>
      </c>
      <c r="B14" s="52"/>
      <c r="C14" s="55"/>
      <c r="D14" s="58"/>
      <c r="E14" s="55"/>
      <c r="F14" s="55"/>
      <c r="G14" s="17">
        <f>SUM(B14:F14)</f>
        <v>0</v>
      </c>
    </row>
    <row r="15" spans="1:10" x14ac:dyDescent="0.25">
      <c r="A15" s="36" t="s">
        <v>10</v>
      </c>
      <c r="B15" s="52"/>
      <c r="C15" s="55"/>
      <c r="D15" s="58"/>
      <c r="E15" s="55"/>
      <c r="F15" s="55"/>
      <c r="G15" s="17">
        <f>SUM(B15:F15)</f>
        <v>0</v>
      </c>
    </row>
    <row r="16" spans="1:10" x14ac:dyDescent="0.25">
      <c r="A16" s="37" t="s">
        <v>25</v>
      </c>
      <c r="B16" s="52"/>
      <c r="C16" s="55"/>
      <c r="D16" s="58"/>
      <c r="E16" s="55"/>
      <c r="F16" s="55"/>
      <c r="G16" s="17"/>
    </row>
    <row r="17" spans="1:9" x14ac:dyDescent="0.25">
      <c r="A17" s="36" t="s">
        <v>11</v>
      </c>
      <c r="B17" s="52"/>
      <c r="C17" s="55"/>
      <c r="D17" s="58"/>
      <c r="E17" s="37"/>
      <c r="F17" s="55"/>
      <c r="G17" s="17">
        <f>SUM(B17:F17)</f>
        <v>0</v>
      </c>
    </row>
    <row r="18" spans="1:9" ht="15.75" thickBot="1" x14ac:dyDescent="0.3">
      <c r="A18" s="37"/>
      <c r="B18" s="53"/>
      <c r="C18" s="56"/>
      <c r="D18" s="59"/>
      <c r="E18" s="56"/>
      <c r="F18" s="56"/>
      <c r="G18" s="17">
        <f>SUM(B18:F18)</f>
        <v>0</v>
      </c>
    </row>
    <row r="19" spans="1:9" s="22" customFormat="1" ht="15.75" thickBot="1" x14ac:dyDescent="0.3">
      <c r="A19" s="39" t="s">
        <v>177</v>
      </c>
      <c r="B19" s="20">
        <f t="shared" ref="B19:F19" si="0">SUM(B12:B18)</f>
        <v>0</v>
      </c>
      <c r="C19" s="20">
        <f t="shared" si="0"/>
        <v>0</v>
      </c>
      <c r="D19" s="20">
        <f t="shared" si="0"/>
        <v>0</v>
      </c>
      <c r="E19" s="20">
        <f t="shared" si="0"/>
        <v>0</v>
      </c>
      <c r="F19" s="20">
        <f t="shared" si="0"/>
        <v>0</v>
      </c>
      <c r="G19" s="21">
        <f>SUM(B19:F19)</f>
        <v>0</v>
      </c>
      <c r="H19" s="23"/>
      <c r="I19" s="24"/>
    </row>
    <row r="21" spans="1:9" x14ac:dyDescent="0.25">
      <c r="A21" t="s">
        <v>12</v>
      </c>
      <c r="B21" s="19" t="e">
        <f>+#REF!</f>
        <v>#REF!</v>
      </c>
      <c r="E21" s="32"/>
      <c r="F21" s="32"/>
      <c r="G21" s="26"/>
    </row>
    <row r="22" spans="1:9" x14ac:dyDescent="0.25">
      <c r="A22" s="25" t="s">
        <v>14</v>
      </c>
      <c r="B22" s="32" t="e">
        <f>+B21-G19</f>
        <v>#REF!</v>
      </c>
      <c r="C22" s="2"/>
      <c r="I22" s="27"/>
    </row>
    <row r="23" spans="1:9" x14ac:dyDescent="0.25">
      <c r="A23" s="25"/>
      <c r="B23" s="32"/>
      <c r="I23" s="27"/>
    </row>
    <row r="24" spans="1:9" x14ac:dyDescent="0.25">
      <c r="A24" s="61"/>
      <c r="B24" s="32"/>
      <c r="I24" s="27"/>
    </row>
    <row r="25" spans="1:9" x14ac:dyDescent="0.25">
      <c r="A25" s="50"/>
      <c r="B25" s="32"/>
      <c r="I25" s="27"/>
    </row>
    <row r="26" spans="1:9" ht="15" customHeight="1" x14ac:dyDescent="0.25">
      <c r="A26" s="50"/>
      <c r="B26" s="49"/>
      <c r="C26" s="49"/>
      <c r="D26" s="49"/>
      <c r="E26" s="49"/>
      <c r="F26" s="49"/>
    </row>
    <row r="27" spans="1:9" x14ac:dyDescent="0.25">
      <c r="B27" s="48"/>
      <c r="C27" s="28"/>
      <c r="D27" s="29"/>
      <c r="E27" s="29"/>
      <c r="F27" s="29"/>
    </row>
    <row r="28" spans="1:9" x14ac:dyDescent="0.25">
      <c r="B28" s="48"/>
      <c r="D28" s="2"/>
      <c r="E28" s="2"/>
    </row>
    <row r="29" spans="1:9" ht="20.25" x14ac:dyDescent="0.3">
      <c r="B29" s="1"/>
      <c r="C29" s="1"/>
      <c r="E29" s="2"/>
    </row>
    <row r="30" spans="1:9" ht="20.25" x14ac:dyDescent="0.3">
      <c r="B30" s="1"/>
      <c r="C30" s="1"/>
      <c r="D30" s="2"/>
      <c r="E30" s="2"/>
    </row>
    <row r="31" spans="1:9" ht="20.25" x14ac:dyDescent="0.3">
      <c r="B31" s="30"/>
      <c r="C31" s="30"/>
    </row>
    <row r="32" spans="1:9" ht="20.25" x14ac:dyDescent="0.3">
      <c r="E32" s="1"/>
    </row>
  </sheetData>
  <mergeCells count="5">
    <mergeCell ref="G10:G11"/>
    <mergeCell ref="A1:F1"/>
    <mergeCell ref="A2:F2"/>
    <mergeCell ref="A3:F3"/>
    <mergeCell ref="A4:F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P-300</vt:lpstr>
      <vt:lpstr>300-1</vt:lpstr>
      <vt:lpstr>Movimiento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2023-08-25T16:36:26Z</dcterms:modified>
</cp:coreProperties>
</file>