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1 AAA\2023\0. AUDITORÍA MODELO 3ANG 2023\2. ANÁLISIS\2- 101. Efectivo y Equivalentes\"/>
    </mc:Choice>
  </mc:AlternateContent>
  <xr:revisionPtr revIDLastSave="0" documentId="13_ncr:1_{C778C149-C2CD-4FE1-9FDE-F0CC64EFF5F6}" xr6:coauthVersionLast="47" xr6:coauthVersionMax="47" xr10:uidLastSave="{00000000-0000-0000-0000-000000000000}"/>
  <bookViews>
    <workbookView xWindow="-120" yWindow="-120" windowWidth="20730" windowHeight="11040" tabRatio="884" activeTab="2" xr2:uid="{00000000-000D-0000-FFFF-FFFF00000000}"/>
  </bookViews>
  <sheets>
    <sheet name="P-101a" sheetId="65" r:id="rId1"/>
    <sheet name="101a-1" sheetId="55" r:id="rId2"/>
    <sheet name="BANCO" sheetId="58"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8" i="65" l="1"/>
  <c r="H8" i="65"/>
  <c r="C18" i="55"/>
  <c r="C17" i="55"/>
  <c r="O5" i="58" l="1"/>
  <c r="X13" i="58" l="1"/>
  <c r="X14" i="58" s="1"/>
  <c r="V13" i="58"/>
  <c r="V14" i="58" s="1"/>
  <c r="T13" i="58"/>
  <c r="T14" i="58" s="1"/>
  <c r="R13" i="58"/>
  <c r="R14" i="58" s="1"/>
  <c r="P13" i="58"/>
  <c r="P14" i="58" s="1"/>
  <c r="N13" i="58"/>
  <c r="N14" i="58" s="1"/>
  <c r="L13" i="58"/>
  <c r="L14" i="58" s="1"/>
  <c r="J13" i="58"/>
  <c r="J14" i="58" s="1"/>
  <c r="H13" i="58"/>
  <c r="H14" i="58" s="1"/>
  <c r="F13" i="58"/>
  <c r="F14" i="58" s="1"/>
  <c r="D13" i="58"/>
  <c r="D14" i="58" s="1"/>
  <c r="B13" i="58"/>
  <c r="B14" i="58" s="1"/>
  <c r="Y12" i="58"/>
  <c r="Y11" i="58"/>
  <c r="P8" i="58"/>
  <c r="J8" i="58"/>
  <c r="V8" i="58" s="1"/>
  <c r="V7" i="58"/>
  <c r="P7" i="58"/>
  <c r="O3" i="58"/>
  <c r="O2" i="58"/>
  <c r="Y14" i="58" l="1"/>
  <c r="Y13" i="58"/>
</calcChain>
</file>

<file path=xl/sharedStrings.xml><?xml version="1.0" encoding="utf-8"?>
<sst xmlns="http://schemas.openxmlformats.org/spreadsheetml/2006/main" count="374" uniqueCount="201">
  <si>
    <t>MOVIMIENTOS DE DEPOSITOS</t>
  </si>
  <si>
    <t>ELABORADO POR</t>
  </si>
  <si>
    <t>FECHA</t>
  </si>
  <si>
    <t>REVISADO POR</t>
  </si>
  <si>
    <t>creditos</t>
  </si>
  <si>
    <t xml:space="preserve">depositos banco </t>
  </si>
  <si>
    <t>total deposito sistema</t>
  </si>
  <si>
    <t>DIFERENCIA</t>
  </si>
  <si>
    <t>ENERO</t>
  </si>
  <si>
    <t>FEBRERO</t>
  </si>
  <si>
    <t>MARZO</t>
  </si>
  <si>
    <t>ABRIL</t>
  </si>
  <si>
    <t>MAYO</t>
  </si>
  <si>
    <t>JUNIO</t>
  </si>
  <si>
    <t>JULIO</t>
  </si>
  <si>
    <t>AGOSTO</t>
  </si>
  <si>
    <t>SEPTIEMBRE</t>
  </si>
  <si>
    <t>OCTUBRE</t>
  </si>
  <si>
    <t>NOVIEMBRE</t>
  </si>
  <si>
    <t>DICIEMBRE</t>
  </si>
  <si>
    <t>PAPELES DE TRABAJO 3 A.N.G. ADMINISTRACIÓN DE NEGOCIOS GERENCIALES CÍA LTDA.</t>
  </si>
  <si>
    <t>3 A.N.G ADMINISTRACIÓN DE NEGOCIOS GERENCIALES CÍA. LTDA.</t>
  </si>
  <si>
    <t>REPORTE DIARIO DE TRABAJO</t>
  </si>
  <si>
    <t>FECHA:</t>
  </si>
  <si>
    <t>Preliminar:</t>
  </si>
  <si>
    <t>Final:</t>
  </si>
  <si>
    <t>GUIA:</t>
  </si>
  <si>
    <t xml:space="preserve">Integro/Reintegro </t>
  </si>
  <si>
    <t>EMPRESA:</t>
  </si>
  <si>
    <t>ELABORADO POR:</t>
  </si>
  <si>
    <t>K.B.</t>
  </si>
  <si>
    <t>REVISADO POR:</t>
  </si>
  <si>
    <t>R.C.</t>
  </si>
  <si>
    <t>APROBADO POR:</t>
  </si>
  <si>
    <t>PERIODO :</t>
  </si>
  <si>
    <t>ÁREA:</t>
  </si>
  <si>
    <t>MONTO DEL ÁREA:</t>
  </si>
  <si>
    <t>CUENTA:</t>
  </si>
  <si>
    <t>CÓDIGO</t>
  </si>
  <si>
    <t>DESCRIPCIÓN</t>
  </si>
  <si>
    <t>VALOR</t>
  </si>
  <si>
    <t>1.1.1.</t>
  </si>
  <si>
    <t>MONTO DE CUENTA:</t>
  </si>
  <si>
    <t>ALCANCE:</t>
  </si>
  <si>
    <t>MATERIALIDAD:</t>
  </si>
  <si>
    <t>RIESGO:</t>
  </si>
  <si>
    <t>ALTO:</t>
  </si>
  <si>
    <t>MEDIO:</t>
  </si>
  <si>
    <t>(X)</t>
  </si>
  <si>
    <t>BAJO:</t>
  </si>
  <si>
    <t>TIPO DE PRUEBA:</t>
  </si>
  <si>
    <t>Análisis, Cumplimiento y Sustantivas</t>
  </si>
  <si>
    <t>ASEVERACIÓN:</t>
  </si>
  <si>
    <t>Integridad y Exactitud</t>
  </si>
  <si>
    <t>TIEMPO ESTIMADO:</t>
  </si>
  <si>
    <t>HORAS</t>
  </si>
  <si>
    <t>NARRATIVA DE LA PRUEBA</t>
  </si>
  <si>
    <t xml:space="preserve">NIA </t>
  </si>
  <si>
    <t>NOMBRE NIA</t>
  </si>
  <si>
    <t>NIA PARRAFO:</t>
  </si>
  <si>
    <t>PYMES, NIIF NIC:</t>
  </si>
  <si>
    <t>NIIF  PYMES:</t>
  </si>
  <si>
    <t>NIIF FULL:</t>
  </si>
  <si>
    <t>NORMA CONTAB.</t>
  </si>
  <si>
    <t>NIIF PYMES</t>
  </si>
  <si>
    <t>DETALLE SECCIÓN:</t>
  </si>
  <si>
    <t>NIIF COMPLETAS</t>
  </si>
  <si>
    <t>DETALLE NIIF:</t>
  </si>
  <si>
    <t>DEPOSITOS</t>
  </si>
  <si>
    <t>K.B</t>
  </si>
  <si>
    <t>Banco ******</t>
  </si>
  <si>
    <t>101a-1</t>
  </si>
  <si>
    <t>ABC XXX</t>
  </si>
  <si>
    <t>E.P</t>
  </si>
  <si>
    <t>Desde el 01 de Enero 2023 al 31 de Diciembre del 2023</t>
  </si>
  <si>
    <t>101- EFECTIVO Y SUS EQUIVALENTES</t>
  </si>
  <si>
    <t>Caja</t>
  </si>
  <si>
    <t>1.1.2</t>
  </si>
  <si>
    <t xml:space="preserve"> Banco A</t>
  </si>
  <si>
    <t>¿¿¿</t>
  </si>
  <si>
    <t>Realizar un análisis mensual de los depósitos  que haya recibido la institución, con ayuda de los estados de cuentas y mayores auxiliares. Luego ligue  con resultados y establezca  diferencias si las hubiere. En el caso de que las diferencias sean significativas, se recomienda su análisis para aclararlas y proponer ajuste o reclasificaciones de necesitarse.</t>
  </si>
  <si>
    <t>315 REVISADA</t>
  </si>
  <si>
    <t>¿¿</t>
  </si>
  <si>
    <t>IDENTIFICACION Y VALORACION DE LOS RIESGOS DE INCORRECCION MATERIAL MEDIANTE EL CONOCIMIENTO DE LA ENTIDAD Y DE SU ENTORNO</t>
  </si>
  <si>
    <t>¿¿¿¿</t>
  </si>
  <si>
    <t>El objetivo del auditor es identificar y valorar los riesgos de incorrección material, debida a fraude o error, tanto en los estados financieros como en las afirmaciones, mediante el conocimiento de la entidad y de su entorno, incluido su control interno, con la finalidad de proporcionar una base para el diseño y la implementación de respuestas a los riesgos valorados de incorrección material.</t>
  </si>
  <si>
    <t>SECCIÓN</t>
  </si>
  <si>
    <t>SECCIÓN 7: ESTADO DE FLUJO DE ACTIVOS</t>
  </si>
  <si>
    <t>¿¿¿¿¿¿¿</t>
  </si>
  <si>
    <t>Equivalentes al efectivo son inversiones con alta liquidez a corto plazo que son fácilmente convertibles en importes conocidos de efectivo y que están sujetas a un riesgo insignificante de cambios en su valor. Se mantienen para cumplir los compromisos de efectivo a corto plazo en lugar de para inversión u otros propósitos. Por consiguiente, una inversión será un equivalente al efectivo cuando tenga un vencimiento próximo, por ejemplo de tres meses o menos desde la fecha de adquisición. Los sobregiros bancarios se consideran normalmente actividades de financiación similares a los préstamos. Sin embargo, si son reembolsables a petición de la otra parte y forman una parte integral de la gestión de efectivo de una entidad, los sobregiros bancarios son componentes del efectivo y equivalentes al efectivo.</t>
  </si>
  <si>
    <t>DEPENDE SI SU EMPRESA ES FULL O PYMES APLIQUE LA QUE LE CORRESPONDA</t>
  </si>
  <si>
    <t>NIC 7 ESTADO DE FLUJO DE EFECTIVOS</t>
  </si>
  <si>
    <t>¿¿¿¿¿¿¿¿</t>
  </si>
  <si>
    <t>La información sobre los flujos de efectivo proporciona a los usuarios de los estados financieros una base para evaluar la capacidad de la entidad para generar efectivo y equivalentes al efectivo y las necesidades de la entidad para utilizar esos flujos de efectivo. La NIC 7 establece los requerimientos para la presentación y revelación de información sobre flujos de efectivo.</t>
  </si>
  <si>
    <t>31 DE DICIEMBRE DEL 2023</t>
  </si>
  <si>
    <t>EMPRESA ********</t>
  </si>
  <si>
    <t>E.P.</t>
  </si>
  <si>
    <t>3 ANG ADMINISTRACIÓN DE NEGOCIOS GERENCIALES CÍA LTDA.</t>
  </si>
  <si>
    <t>PROGRAMA DE AUDITORÍA SOBRE LOS ESTADOS FINANCIEROS</t>
  </si>
  <si>
    <r>
      <t>P-101</t>
    </r>
    <r>
      <rPr>
        <b/>
        <sz val="12"/>
        <color rgb="FFFF0000"/>
        <rFont val="Arial Black"/>
        <family val="2"/>
      </rPr>
      <t>a</t>
    </r>
  </si>
  <si>
    <t>REF P.T</t>
  </si>
  <si>
    <t xml:space="preserve">CLIENTE:             </t>
  </si>
  <si>
    <t>ABC</t>
  </si>
  <si>
    <t xml:space="preserve">PERIODO:      </t>
  </si>
  <si>
    <t>Del 01 de enero al 31 de diciembre del 2023</t>
  </si>
  <si>
    <t>Final</t>
  </si>
  <si>
    <t>ÁREA</t>
  </si>
  <si>
    <t>EFECTIVO Y SUS EQUIVALENTES</t>
  </si>
  <si>
    <t>(x)</t>
  </si>
  <si>
    <t>Aprobado</t>
  </si>
  <si>
    <t>Firma y sello</t>
  </si>
  <si>
    <t xml:space="preserve">ELABORADO POR: </t>
  </si>
  <si>
    <t>Elizabeth Palacios</t>
  </si>
  <si>
    <t>R.C</t>
  </si>
  <si>
    <t>Roy Cisneros</t>
  </si>
  <si>
    <t>OBJETIVOS:</t>
  </si>
  <si>
    <t>Verificar que todos los saldos de efectivo aparecen en los EE FF, los cuales representan los fondos que la entidad tiene derecho.</t>
  </si>
  <si>
    <t>Se clasifica adecuadamente el efectivo en los estados financieros y se exponen debidamente (mediante segregación o en otra forma) los fondos restringidos o comprometido.</t>
  </si>
  <si>
    <t>REFERENCIAS</t>
  </si>
  <si>
    <t>REVISIÓN</t>
  </si>
  <si>
    <t>TIPO DE PRUEBA</t>
  </si>
  <si>
    <t>E</t>
  </si>
  <si>
    <t>Existencia u ocurrencia</t>
  </si>
  <si>
    <r>
      <rPr>
        <b/>
        <sz val="10"/>
        <color rgb="FFFF0000"/>
        <rFont val="Times New Roman"/>
        <family val="1"/>
      </rPr>
      <t xml:space="preserve">V  </t>
    </r>
    <r>
      <rPr>
        <sz val="10"/>
        <color theme="1"/>
        <rFont val="Times New Roman"/>
        <family val="1"/>
      </rPr>
      <t xml:space="preserve"> Valuación</t>
    </r>
  </si>
  <si>
    <t>✓</t>
  </si>
  <si>
    <t>Preliminar</t>
  </si>
  <si>
    <t>Pruebas Sustantivos.</t>
  </si>
  <si>
    <t>I</t>
  </si>
  <si>
    <t>Integridad o totalidad</t>
  </si>
  <si>
    <r>
      <rPr>
        <b/>
        <sz val="10"/>
        <color rgb="FFFF0000"/>
        <rFont val="Times New Roman"/>
        <family val="1"/>
      </rPr>
      <t xml:space="preserve">P   </t>
    </r>
    <r>
      <rPr>
        <sz val="10"/>
        <color theme="1"/>
        <rFont val="Times New Roman"/>
        <family val="1"/>
      </rPr>
      <t xml:space="preserve"> Presentación y divulgación</t>
    </r>
  </si>
  <si>
    <t>D</t>
  </si>
  <si>
    <t>. Pruebas Sustantivas de Detalle.</t>
  </si>
  <si>
    <t>Derechos y obligaciones</t>
  </si>
  <si>
    <r>
      <rPr>
        <b/>
        <sz val="10"/>
        <color rgb="FFFF0000"/>
        <rFont val="Times New Roman"/>
        <family val="1"/>
      </rPr>
      <t>P1</t>
    </r>
    <r>
      <rPr>
        <sz val="10"/>
        <color theme="1"/>
        <rFont val="Times New Roman"/>
        <family val="1"/>
      </rPr>
      <t xml:space="preserve">   Período</t>
    </r>
  </si>
  <si>
    <t>Prel y Final</t>
  </si>
  <si>
    <t>A</t>
  </si>
  <si>
    <t>. Pruebas Sustantivas Analíticas</t>
  </si>
  <si>
    <r>
      <rPr>
        <b/>
        <sz val="10"/>
        <color rgb="FFFF0000"/>
        <rFont val="Times New Roman"/>
        <family val="1"/>
      </rPr>
      <t xml:space="preserve">C  </t>
    </r>
    <r>
      <rPr>
        <sz val="10"/>
        <color theme="1"/>
        <rFont val="Times New Roman"/>
        <family val="1"/>
      </rPr>
      <t xml:space="preserve"> Clasificación</t>
    </r>
  </si>
  <si>
    <t>C</t>
  </si>
  <si>
    <t>Pruebas de Control o Cumplimiento.</t>
  </si>
  <si>
    <t>PROCEDIMIENTOS</t>
  </si>
  <si>
    <t>ASEVERACIÓN</t>
  </si>
  <si>
    <t>REFERENCIA P. T</t>
  </si>
  <si>
    <t>PRUEBAS</t>
  </si>
  <si>
    <t>V</t>
  </si>
  <si>
    <t>P</t>
  </si>
  <si>
    <t>P1</t>
  </si>
  <si>
    <t>Generales</t>
  </si>
  <si>
    <t>a</t>
  </si>
  <si>
    <t>Elaborar la Sumaria.</t>
  </si>
  <si>
    <t>101-</t>
  </si>
  <si>
    <t>b</t>
  </si>
  <si>
    <t>Elabore el reporte diario del trabajo a realizar</t>
  </si>
  <si>
    <t>x</t>
  </si>
  <si>
    <t>CAJA</t>
  </si>
  <si>
    <t>Haga el arqueo simultáneo de los fondos existentes en la localidad y confirme los de fuera</t>
  </si>
  <si>
    <t>Ligue el monto de los fondos contra registros de contabilidad e investigue las diferencias existentes.</t>
  </si>
  <si>
    <t>Obtenga de los encargados constancia de que les fueron devueltos los fondos.</t>
  </si>
  <si>
    <t>Investigue:</t>
  </si>
  <si>
    <t>Fecha del último reembolso.</t>
  </si>
  <si>
    <t>Comprobantes, vales, préstamos sin aprobación.</t>
  </si>
  <si>
    <t>Comprobantes por montos superiores al monto máximo autorizado a pagar por caja chica.</t>
  </si>
  <si>
    <t>Asegúrese de que las cobranzas pendientes de depósito sean depositadas intactas y oportunamente, comparando el detalle en la ficha de depósito con nuestra relación, al momento del arqueo.</t>
  </si>
  <si>
    <t>Inspeccione reembolso de caja chica por un período anterior a la fecha del arqueo y esté alerta para descubrir:</t>
  </si>
  <si>
    <t>Comprobantes con fecha anterior al último reembolso.</t>
  </si>
  <si>
    <t>Comprobantes con indicios de alteraciones en las fechas, cantidades, etc.</t>
  </si>
  <si>
    <t>.</t>
  </si>
  <si>
    <t>Verifique que no existan comprobantes por pagar al cierre</t>
  </si>
  <si>
    <t>Efectuar arqueos sorpresivos de caja chica, el cual debe ser evidenciado mediante un acta de arqueo. Adicionalmente se debe mencionar las deficiencias encontradas al aplicar este procedimiento.</t>
  </si>
  <si>
    <t>BANCOS</t>
  </si>
  <si>
    <t>Obtener un detalle de los saldos de bancos a la fecha de revisión.</t>
  </si>
  <si>
    <t>Solicitar al cliente los estados de cuenta y las libretas de ahorro  de las cuentas bancarias que posee la institución.</t>
  </si>
  <si>
    <t>Verificar que las cuentas estén a nombre de la compañía auditada;</t>
  </si>
  <si>
    <t>Prepare las confirmaciones bancarias de todas las cuentas (inclusive las canceladas) solicitando saldos al cierre y el estado de cuenta del período posterior a un mes.</t>
  </si>
  <si>
    <t>Envíe las confirmaciones de bancos en forma personal.</t>
  </si>
  <si>
    <t>Obtener y adjuntar directamente del banco la confirmación de todas las cuentas bancarias confirmadas, incluyendo alguna otra abierta en fecha posterior a la visita preliminar.</t>
  </si>
  <si>
    <t>Efectuar un análisis de las partidas que componen los saldos a la fecha.</t>
  </si>
  <si>
    <t>Verificar que los saldos iniciales de las cuentas del mayor auxiliar crucen con las cifras auditadas en el año anterior.</t>
  </si>
  <si>
    <t>Obtener un detalle de las cuentas abiertas y/o cerradas durante el presente ejercicio y verificar contra la documentación soporte.</t>
  </si>
  <si>
    <t>Obtenga copia de las conciliaciones de todas las cuentas bancarias a la fecha del cierre.</t>
  </si>
  <si>
    <t>·  Verificar exactitud aritmética y que se encuentren debidamente firmadas y aprobadas.</t>
  </si>
  <si>
    <t>·  Cotejar el saldo según bancos con el estado de cuenta a la fecha de corte.</t>
  </si>
  <si>
    <t>·  Preparar resumen de conciliaciones y establecer una base de selección para las partidas conciliatorias importantes o que llamen nuestra atención para revisión contra documentación de soporte.</t>
  </si>
  <si>
    <t>Obtener y adjuntar las confirmaciones bancarias por todas las cuentas que maneje la Compañía, referenciar los resultados con los estados financieros, si los saldos conciliados no cruzan conversar con la Administración para mitigar estas diferencias.</t>
  </si>
  <si>
    <t>Efectuar un análisis de las partidas que componen los saldos a la fecha considerando el procedimiento señalado en este programa.</t>
  </si>
  <si>
    <t>Analizar las partidas que conforman los estados de cuenta al cierre del período y determinar si es necesario o no realizar vaucheo de las partidas, en el caso de ser inmateriales documente con una nota explicativa el criterio adoptado para no efectuarlo.</t>
  </si>
  <si>
    <t>Examinar que los fondos de caja fueron liquidados al cierre y que se registraron todos los gastos correspondientes.</t>
  </si>
  <si>
    <t>Verificar que no existen saldos en moneda extranjera y que de ser el caso estos han sido convertidos a los tipos de cambio apropiados.</t>
  </si>
  <si>
    <t>Sobre las conciliaciones bancarias:</t>
  </si>
  <si>
    <t>Compruebe su corrección aritmética.</t>
  </si>
  <si>
    <t>Ligue el saldo según el banco con las confirmaciones y los estados de cuenta.</t>
  </si>
  <si>
    <t>Ligue el saldo según libros con la sumaria.</t>
  </si>
  <si>
    <t>Compruebe que los depósitos en tránsito fueron correspondidos oportunamente, anote las fechas y examine el asiento los libros y la documentación correspondiente.</t>
  </si>
  <si>
    <t>Compruebe que los cheques pendientes fueron pagados según el estado de cuenta, durante el período posterior, y para los que no fueron examine el asiento en libros y la documentación comprobatoria.</t>
  </si>
  <si>
    <t>En caso de tener saldo contrario a la naturaleza de la cuenta de mayor reclasificarlo de acuerdo a los estados de cuenta.</t>
  </si>
  <si>
    <t>La correcta elaboración en lo que respecta al formato utilizado, firmas de responsabilidad,  cálculos aritméticos y Si este procedimiento  se realizan mensualmente.</t>
  </si>
  <si>
    <t>Investigue lo siguiente:</t>
  </si>
  <si>
    <t>Cheques por montos importantes depositados antes de la fecha de la conciliación y devueltos por el banco en el período posterior.</t>
  </si>
  <si>
    <t>Cualquier otra partida anormal en las confirmaciones y en el estado de cuenta del período posterior.</t>
  </si>
  <si>
    <t>Revise los traspasos entre Bancos y compañías afiliadas por un período anterior y posterior al fin de año.</t>
  </si>
  <si>
    <t>CONCLUSIÓN DEL ÁREA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</si>
</sst>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0.00_ ;_ &quot;$&quot;* \-#,##0.00_ ;_ &quot;$&quot;* &quot;-&quot;??_ ;_ @_ "/>
    <numFmt numFmtId="43" formatCode="_ * #,##0.00_ ;_ * \-#,##0.00_ ;_ * &quot;-&quot;??_ ;_ @_ "/>
    <numFmt numFmtId="164" formatCode="_(* #,##0.00_);_(* \(#,##0.00\);_(* &quot;-&quot;??_);_(@_)"/>
    <numFmt numFmtId="165" formatCode="_(&quot;$&quot;\ * #,##0.00_);_(&quot;$&quot;\ * \(#,##0.00\);_(&quot;$&quot;\ * &quot;-&quot;??_);_(@_)"/>
  </numFmts>
  <fonts count="41" x14ac:knownFonts="1">
    <font>
      <sz val="11"/>
      <color theme="1"/>
      <name val="Calibri"/>
      <family val="2"/>
      <scheme val="minor"/>
    </font>
    <font>
      <sz val="11"/>
      <color theme="1"/>
      <name val="Calibri"/>
      <family val="2"/>
      <scheme val="minor"/>
    </font>
    <font>
      <sz val="10"/>
      <name val="Arial"/>
      <family val="2"/>
    </font>
    <font>
      <b/>
      <sz val="14"/>
      <name val="Cambria"/>
      <family val="1"/>
      <scheme val="major"/>
    </font>
    <font>
      <b/>
      <sz val="12"/>
      <name val="Cambria"/>
      <family val="1"/>
      <scheme val="major"/>
    </font>
    <font>
      <sz val="12"/>
      <name val="Cambria"/>
      <family val="1"/>
      <scheme val="major"/>
    </font>
    <font>
      <sz val="12"/>
      <color theme="1"/>
      <name val="Cambria"/>
      <family val="1"/>
      <scheme val="major"/>
    </font>
    <font>
      <sz val="9"/>
      <color theme="1"/>
      <name val="Cambria"/>
      <family val="1"/>
      <scheme val="major"/>
    </font>
    <font>
      <b/>
      <sz val="9"/>
      <name val="Cambria"/>
      <family val="1"/>
      <scheme val="major"/>
    </font>
    <font>
      <sz val="9"/>
      <color indexed="8"/>
      <name val="Cambria"/>
      <family val="1"/>
      <scheme val="major"/>
    </font>
    <font>
      <b/>
      <sz val="9"/>
      <color theme="1"/>
      <name val="Cambria"/>
      <family val="1"/>
      <scheme val="major"/>
    </font>
    <font>
      <b/>
      <u/>
      <sz val="9"/>
      <color theme="1"/>
      <name val="Cambria"/>
      <family val="1"/>
      <scheme val="major"/>
    </font>
    <font>
      <sz val="9"/>
      <name val="Cambria"/>
      <family val="1"/>
      <scheme val="major"/>
    </font>
    <font>
      <b/>
      <sz val="10"/>
      <name val="Cambria"/>
      <family val="1"/>
      <scheme val="major"/>
    </font>
    <font>
      <b/>
      <sz val="10"/>
      <color theme="1"/>
      <name val="Cambria"/>
      <family val="1"/>
      <scheme val="major"/>
    </font>
    <font>
      <sz val="12"/>
      <name val="Times New Roman"/>
      <family val="1"/>
    </font>
    <font>
      <b/>
      <sz val="15"/>
      <name val="Times New Roman"/>
      <family val="1"/>
    </font>
    <font>
      <sz val="12"/>
      <color indexed="62"/>
      <name val="Times New Roman"/>
      <family val="1"/>
    </font>
    <font>
      <b/>
      <sz val="12"/>
      <name val="Times New Roman"/>
      <family val="1"/>
    </font>
    <font>
      <b/>
      <sz val="12"/>
      <color rgb="FFFF0000"/>
      <name val="Times New Roman"/>
      <family val="1"/>
    </font>
    <font>
      <sz val="12"/>
      <color theme="1"/>
      <name val="Times New Roman"/>
      <family val="1"/>
    </font>
    <font>
      <b/>
      <u/>
      <sz val="12"/>
      <name val="Times New Roman"/>
      <family val="1"/>
    </font>
    <font>
      <sz val="12"/>
      <color rgb="FFFF0000"/>
      <name val="Times New Roman"/>
      <family val="1"/>
    </font>
    <font>
      <b/>
      <sz val="20"/>
      <color rgb="FFFF0000"/>
      <name val="Times New Roman"/>
      <family val="1"/>
    </font>
    <font>
      <b/>
      <sz val="11"/>
      <color theme="1"/>
      <name val="Calibri"/>
      <family val="2"/>
      <scheme val="minor"/>
    </font>
    <font>
      <sz val="12"/>
      <color theme="1"/>
      <name val="Calibri"/>
      <family val="2"/>
      <scheme val="minor"/>
    </font>
    <font>
      <b/>
      <sz val="16"/>
      <color rgb="FF002060"/>
      <name val="Cambria"/>
      <family val="2"/>
      <scheme val="major"/>
    </font>
    <font>
      <b/>
      <sz val="30"/>
      <color rgb="FFFF0000"/>
      <name val="Arial Black"/>
      <family val="2"/>
    </font>
    <font>
      <b/>
      <sz val="12"/>
      <color rgb="FFFF0000"/>
      <name val="Arial Black"/>
      <family val="2"/>
    </font>
    <font>
      <b/>
      <sz val="14"/>
      <color rgb="FF002060"/>
      <name val="Cambria"/>
      <family val="2"/>
      <scheme val="major"/>
    </font>
    <font>
      <b/>
      <sz val="12"/>
      <color theme="1"/>
      <name val="Times New Roman"/>
      <family val="1"/>
    </font>
    <font>
      <i/>
      <sz val="10"/>
      <color theme="1"/>
      <name val="Cambria"/>
      <family val="2"/>
      <scheme val="major"/>
    </font>
    <font>
      <sz val="11"/>
      <color theme="1"/>
      <name val="Times New Roman"/>
      <family val="1"/>
    </font>
    <font>
      <b/>
      <sz val="11"/>
      <color theme="1"/>
      <name val="Times New Roman"/>
      <family val="1"/>
    </font>
    <font>
      <b/>
      <u/>
      <sz val="10"/>
      <color rgb="FFFF0000"/>
      <name val="Times New Roman"/>
      <family val="1"/>
    </font>
    <font>
      <sz val="10"/>
      <color theme="1"/>
      <name val="Times New Roman"/>
      <family val="1"/>
    </font>
    <font>
      <b/>
      <sz val="10"/>
      <color rgb="FFFF0000"/>
      <name val="Times New Roman"/>
      <family val="1"/>
    </font>
    <font>
      <sz val="11"/>
      <color rgb="FFFF0000"/>
      <name val="Arial"/>
      <family val="2"/>
    </font>
    <font>
      <sz val="10"/>
      <name val="Times New Roman"/>
      <family val="1"/>
    </font>
    <font>
      <b/>
      <u/>
      <sz val="10"/>
      <name val="Times New Roman"/>
      <family val="1"/>
    </font>
    <font>
      <b/>
      <sz val="10"/>
      <color theme="1"/>
      <name val="Times New Roman"/>
      <family val="1"/>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00FF00"/>
        <bgColor indexed="64"/>
      </patternFill>
    </fill>
  </fills>
  <borders count="50">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s>
  <cellStyleXfs count="7">
    <xf numFmtId="0" fontId="0" fillId="0" borderId="0"/>
    <xf numFmtId="164" fontId="1" fillId="0" borderId="0" applyFont="0" applyFill="0" applyBorder="0" applyAlignment="0" applyProtection="0"/>
    <xf numFmtId="0" fontId="2" fillId="0" borderId="0"/>
    <xf numFmtId="0" fontId="1" fillId="0" borderId="0"/>
    <xf numFmtId="44" fontId="1" fillId="0" borderId="0" applyFont="0" applyFill="0" applyBorder="0" applyAlignment="0" applyProtection="0"/>
    <xf numFmtId="9" fontId="1" fillId="0" borderId="0" applyFont="0" applyFill="0" applyBorder="0" applyAlignment="0" applyProtection="0"/>
    <xf numFmtId="0" fontId="2" fillId="0" borderId="0"/>
  </cellStyleXfs>
  <cellXfs count="338">
    <xf numFmtId="0" fontId="0" fillId="0" borderId="0" xfId="0"/>
    <xf numFmtId="164" fontId="4" fillId="0" borderId="0" xfId="1" applyFont="1" applyBorder="1" applyAlignment="1">
      <alignment horizontal="center"/>
    </xf>
    <xf numFmtId="2" fontId="4" fillId="0" borderId="0" xfId="0" applyNumberFormat="1" applyFont="1" applyBorder="1" applyAlignment="1">
      <alignment horizontal="center"/>
    </xf>
    <xf numFmtId="0" fontId="6" fillId="0" borderId="1" xfId="0" applyFont="1" applyBorder="1"/>
    <xf numFmtId="164" fontId="6" fillId="0" borderId="2" xfId="1" applyFont="1" applyBorder="1"/>
    <xf numFmtId="0" fontId="4" fillId="0" borderId="2" xfId="0" applyFont="1" applyBorder="1" applyAlignment="1"/>
    <xf numFmtId="2" fontId="6" fillId="0" borderId="2" xfId="0" applyNumberFormat="1" applyFont="1" applyBorder="1"/>
    <xf numFmtId="0" fontId="4" fillId="0" borderId="0" xfId="0" applyFont="1" applyBorder="1" applyAlignment="1"/>
    <xf numFmtId="0" fontId="6" fillId="0" borderId="4" xfId="0" applyFont="1" applyBorder="1"/>
    <xf numFmtId="164" fontId="4" fillId="0" borderId="5" xfId="1" applyFont="1" applyBorder="1" applyAlignment="1"/>
    <xf numFmtId="164" fontId="4" fillId="0" borderId="0" xfId="1" applyFont="1" applyBorder="1" applyAlignment="1"/>
    <xf numFmtId="0" fontId="4" fillId="0" borderId="5" xfId="0" applyFont="1" applyBorder="1" applyAlignment="1"/>
    <xf numFmtId="2" fontId="4" fillId="0" borderId="5" xfId="0" applyNumberFormat="1" applyFont="1" applyBorder="1" applyAlignment="1"/>
    <xf numFmtId="2" fontId="4" fillId="0" borderId="0" xfId="0" applyNumberFormat="1" applyFont="1" applyBorder="1" applyAlignment="1"/>
    <xf numFmtId="0" fontId="6" fillId="0" borderId="6" xfId="0" applyFont="1" applyBorder="1"/>
    <xf numFmtId="164" fontId="4" fillId="0" borderId="7" xfId="1" applyFont="1" applyBorder="1" applyAlignment="1">
      <alignment horizontal="center"/>
    </xf>
    <xf numFmtId="0" fontId="6" fillId="0" borderId="0" xfId="0" applyFont="1" applyBorder="1"/>
    <xf numFmtId="2" fontId="4" fillId="0" borderId="7" xfId="0" applyNumberFormat="1" applyFont="1" applyBorder="1" applyAlignment="1">
      <alignment horizontal="center"/>
    </xf>
    <xf numFmtId="0" fontId="4" fillId="0" borderId="0" xfId="1" applyNumberFormat="1" applyFont="1" applyBorder="1" applyAlignment="1"/>
    <xf numFmtId="0" fontId="6" fillId="0" borderId="0" xfId="0" applyFont="1" applyBorder="1" applyAlignment="1"/>
    <xf numFmtId="0" fontId="6" fillId="0" borderId="5" xfId="0" applyFont="1" applyBorder="1"/>
    <xf numFmtId="2" fontId="4" fillId="0" borderId="0" xfId="1" applyNumberFormat="1" applyFont="1" applyFill="1" applyBorder="1" applyAlignment="1"/>
    <xf numFmtId="2" fontId="6" fillId="0" borderId="0" xfId="0" applyNumberFormat="1" applyFont="1" applyBorder="1"/>
    <xf numFmtId="0" fontId="7" fillId="0" borderId="4" xfId="0" applyFont="1" applyBorder="1"/>
    <xf numFmtId="164" fontId="8" fillId="0" borderId="0" xfId="1" applyFont="1" applyBorder="1"/>
    <xf numFmtId="0" fontId="7" fillId="0" borderId="0" xfId="0" applyFont="1" applyBorder="1"/>
    <xf numFmtId="0" fontId="9" fillId="0" borderId="0" xfId="1" applyNumberFormat="1" applyFont="1" applyBorder="1"/>
    <xf numFmtId="164" fontId="7" fillId="0" borderId="0" xfId="1" applyFont="1" applyBorder="1"/>
    <xf numFmtId="0" fontId="8" fillId="0" borderId="0" xfId="1" applyNumberFormat="1" applyFont="1" applyBorder="1"/>
    <xf numFmtId="0" fontId="7" fillId="0" borderId="5" xfId="0" applyFont="1" applyBorder="1"/>
    <xf numFmtId="2" fontId="8" fillId="0" borderId="0" xfId="0" applyNumberFormat="1" applyFont="1" applyBorder="1"/>
    <xf numFmtId="2" fontId="8" fillId="0" borderId="0" xfId="0" applyNumberFormat="1" applyFont="1" applyBorder="1" applyAlignment="1">
      <alignment horizontal="center"/>
    </xf>
    <xf numFmtId="2" fontId="7" fillId="0" borderId="0" xfId="0" applyNumberFormat="1" applyFont="1" applyFill="1" applyBorder="1"/>
    <xf numFmtId="2" fontId="7" fillId="0" borderId="0" xfId="0" applyNumberFormat="1" applyFont="1" applyBorder="1"/>
    <xf numFmtId="14" fontId="8" fillId="0" borderId="8" xfId="0" applyNumberFormat="1" applyFont="1" applyBorder="1"/>
    <xf numFmtId="0" fontId="8" fillId="0" borderId="5" xfId="0" applyFont="1" applyBorder="1"/>
    <xf numFmtId="0" fontId="10" fillId="0" borderId="0" xfId="0" applyFont="1" applyBorder="1"/>
    <xf numFmtId="2" fontId="8" fillId="0" borderId="9" xfId="0" applyNumberFormat="1" applyFont="1" applyBorder="1" applyAlignment="1">
      <alignment horizontal="center"/>
    </xf>
    <xf numFmtId="2" fontId="8" fillId="0" borderId="0" xfId="0" applyNumberFormat="1" applyFont="1" applyFill="1" applyBorder="1"/>
    <xf numFmtId="0" fontId="7" fillId="0" borderId="6" xfId="0" applyFont="1" applyBorder="1"/>
    <xf numFmtId="164" fontId="12" fillId="0" borderId="8" xfId="1" applyFont="1" applyBorder="1"/>
    <xf numFmtId="0" fontId="12" fillId="0" borderId="8" xfId="0" applyFont="1" applyBorder="1"/>
    <xf numFmtId="0" fontId="9" fillId="0" borderId="8" xfId="1" applyNumberFormat="1" applyFont="1" applyBorder="1"/>
    <xf numFmtId="164" fontId="8" fillId="0" borderId="8" xfId="1" applyFont="1" applyBorder="1"/>
    <xf numFmtId="0" fontId="8" fillId="0" borderId="8" xfId="0" applyFont="1" applyBorder="1"/>
    <xf numFmtId="43" fontId="9" fillId="0" borderId="8" xfId="1" applyNumberFormat="1" applyFont="1" applyBorder="1"/>
    <xf numFmtId="43" fontId="12" fillId="0" borderId="8" xfId="1" applyNumberFormat="1" applyFont="1" applyFill="1" applyBorder="1" applyAlignment="1">
      <alignment horizontal="right"/>
    </xf>
    <xf numFmtId="164" fontId="7" fillId="0" borderId="8" xfId="1" applyFont="1" applyBorder="1"/>
    <xf numFmtId="0" fontId="7" fillId="0" borderId="8" xfId="0" applyFont="1" applyBorder="1"/>
    <xf numFmtId="0" fontId="7" fillId="0" borderId="7" xfId="0" applyFont="1" applyBorder="1"/>
    <xf numFmtId="2" fontId="12" fillId="0" borderId="8" xfId="0" applyNumberFormat="1" applyFont="1" applyBorder="1"/>
    <xf numFmtId="2" fontId="8" fillId="0" borderId="8" xfId="0" applyNumberFormat="1" applyFont="1" applyFill="1" applyBorder="1"/>
    <xf numFmtId="164" fontId="9" fillId="0" borderId="8" xfId="1" applyFont="1" applyBorder="1"/>
    <xf numFmtId="2" fontId="7" fillId="0" borderId="8" xfId="0" applyNumberFormat="1" applyFont="1" applyBorder="1"/>
    <xf numFmtId="2" fontId="8" fillId="0" borderId="8" xfId="0" applyNumberFormat="1" applyFont="1" applyBorder="1"/>
    <xf numFmtId="43" fontId="9" fillId="0" borderId="7" xfId="1" applyNumberFormat="1" applyFont="1" applyBorder="1"/>
    <xf numFmtId="164" fontId="7" fillId="0" borderId="1" xfId="1" applyFont="1" applyBorder="1"/>
    <xf numFmtId="164" fontId="7" fillId="0" borderId="3" xfId="1" applyFont="1" applyBorder="1"/>
    <xf numFmtId="164" fontId="7" fillId="0" borderId="2" xfId="1" applyFont="1" applyBorder="1"/>
    <xf numFmtId="2" fontId="7" fillId="0" borderId="3" xfId="1" applyNumberFormat="1" applyFont="1" applyBorder="1"/>
    <xf numFmtId="2" fontId="7" fillId="0" borderId="3" xfId="1" applyNumberFormat="1" applyFont="1" applyFill="1" applyBorder="1"/>
    <xf numFmtId="164" fontId="10" fillId="0" borderId="3" xfId="1" applyFont="1" applyBorder="1" applyAlignment="1">
      <alignment horizontal="center"/>
    </xf>
    <xf numFmtId="2" fontId="7" fillId="0" borderId="2" xfId="1" applyNumberFormat="1" applyFont="1" applyBorder="1"/>
    <xf numFmtId="164" fontId="7" fillId="2" borderId="4" xfId="1" applyFont="1" applyFill="1" applyBorder="1"/>
    <xf numFmtId="164" fontId="7" fillId="2" borderId="0" xfId="1" applyFont="1" applyFill="1" applyBorder="1"/>
    <xf numFmtId="164" fontId="7" fillId="2" borderId="10" xfId="1" applyFont="1" applyFill="1" applyBorder="1"/>
    <xf numFmtId="164" fontId="7" fillId="2" borderId="5" xfId="1" applyFont="1" applyFill="1" applyBorder="1"/>
    <xf numFmtId="164" fontId="7" fillId="2" borderId="11" xfId="1" applyFont="1" applyFill="1" applyBorder="1"/>
    <xf numFmtId="164" fontId="10" fillId="2" borderId="15" xfId="1" applyFont="1" applyFill="1" applyBorder="1"/>
    <xf numFmtId="164" fontId="10" fillId="0" borderId="12" xfId="1" applyFont="1" applyBorder="1"/>
    <xf numFmtId="164" fontId="10" fillId="0" borderId="13" xfId="1" applyFont="1" applyBorder="1"/>
    <xf numFmtId="164" fontId="7" fillId="0" borderId="10" xfId="1" applyFont="1" applyBorder="1"/>
    <xf numFmtId="164" fontId="10" fillId="0" borderId="15" xfId="1" applyFont="1" applyBorder="1"/>
    <xf numFmtId="164" fontId="10" fillId="0" borderId="11" xfId="1" applyFont="1" applyFill="1" applyBorder="1"/>
    <xf numFmtId="2" fontId="7" fillId="0" borderId="11" xfId="0" applyNumberFormat="1" applyFont="1" applyBorder="1"/>
    <xf numFmtId="0" fontId="7" fillId="0" borderId="10" xfId="0" applyFont="1" applyBorder="1"/>
    <xf numFmtId="2" fontId="7" fillId="0" borderId="11" xfId="0" applyNumberFormat="1" applyFont="1" applyFill="1" applyBorder="1"/>
    <xf numFmtId="2" fontId="7" fillId="0" borderId="5" xfId="0" applyNumberFormat="1" applyFont="1" applyBorder="1"/>
    <xf numFmtId="0" fontId="10" fillId="0" borderId="5" xfId="0" applyFont="1" applyBorder="1"/>
    <xf numFmtId="164" fontId="10" fillId="2" borderId="14" xfId="1" applyFont="1" applyFill="1" applyBorder="1"/>
    <xf numFmtId="164" fontId="13" fillId="0" borderId="0" xfId="1" applyFont="1" applyBorder="1" applyAlignment="1"/>
    <xf numFmtId="0" fontId="13" fillId="0" borderId="0" xfId="1" applyNumberFormat="1" applyFont="1" applyBorder="1" applyAlignment="1"/>
    <xf numFmtId="14" fontId="7" fillId="0" borderId="0" xfId="0" applyNumberFormat="1" applyFont="1" applyBorder="1"/>
    <xf numFmtId="164" fontId="14" fillId="0" borderId="0" xfId="1" applyFont="1" applyBorder="1" applyAlignment="1">
      <alignment horizontal="center"/>
    </xf>
    <xf numFmtId="0" fontId="14" fillId="0" borderId="0" xfId="0" applyFont="1" applyBorder="1" applyAlignment="1">
      <alignment horizontal="center"/>
    </xf>
    <xf numFmtId="14" fontId="6" fillId="0" borderId="0" xfId="0" applyNumberFormat="1" applyFont="1" applyBorder="1"/>
    <xf numFmtId="14" fontId="5" fillId="0" borderId="8" xfId="1" applyNumberFormat="1" applyFont="1" applyBorder="1"/>
    <xf numFmtId="14" fontId="7" fillId="0" borderId="0" xfId="1" applyNumberFormat="1" applyFont="1" applyBorder="1"/>
    <xf numFmtId="0" fontId="7" fillId="0" borderId="17" xfId="0" applyFont="1" applyBorder="1"/>
    <xf numFmtId="164" fontId="7" fillId="0" borderId="17" xfId="1" applyFont="1" applyBorder="1" applyAlignment="1"/>
    <xf numFmtId="164" fontId="7" fillId="0" borderId="17" xfId="1" applyFont="1" applyBorder="1"/>
    <xf numFmtId="164" fontId="7" fillId="0" borderId="18" xfId="1" applyFont="1" applyBorder="1" applyAlignment="1">
      <alignment horizontal="justify"/>
    </xf>
    <xf numFmtId="164" fontId="7" fillId="0" borderId="18" xfId="1" applyFont="1" applyBorder="1" applyAlignment="1">
      <alignment vertical="center" wrapText="1"/>
    </xf>
    <xf numFmtId="164" fontId="7" fillId="0" borderId="21" xfId="1" applyFont="1" applyBorder="1" applyAlignment="1">
      <alignment horizontal="justify"/>
    </xf>
    <xf numFmtId="164" fontId="7" fillId="0" borderId="22" xfId="1" applyFont="1" applyBorder="1" applyAlignment="1"/>
    <xf numFmtId="164" fontId="7" fillId="0" borderId="22" xfId="1" applyFont="1" applyBorder="1"/>
    <xf numFmtId="164" fontId="7" fillId="0" borderId="23" xfId="1" applyFont="1" applyBorder="1" applyAlignment="1">
      <alignment vertical="center" wrapText="1"/>
    </xf>
    <xf numFmtId="164" fontId="7" fillId="0" borderId="24" xfId="1" applyFont="1" applyBorder="1" applyAlignment="1">
      <alignment horizontal="right" vertical="center"/>
    </xf>
    <xf numFmtId="164" fontId="7" fillId="0" borderId="25" xfId="1" applyFont="1" applyBorder="1" applyAlignment="1">
      <alignment horizontal="justify"/>
    </xf>
    <xf numFmtId="164" fontId="7" fillId="0" borderId="26" xfId="1" applyFont="1" applyBorder="1" applyAlignment="1">
      <alignment vertical="center"/>
    </xf>
    <xf numFmtId="164" fontId="7" fillId="0" borderId="22" xfId="1" applyFont="1" applyBorder="1" applyAlignment="1">
      <alignment vertical="center"/>
    </xf>
    <xf numFmtId="164" fontId="7" fillId="0" borderId="21" xfId="1" applyFont="1" applyBorder="1" applyAlignment="1">
      <alignment vertical="center" wrapText="1"/>
    </xf>
    <xf numFmtId="164" fontId="7" fillId="0" borderId="22" xfId="1" applyFont="1" applyBorder="1" applyAlignment="1">
      <alignment horizontal="center" vertical="center"/>
    </xf>
    <xf numFmtId="164" fontId="7" fillId="0" borderId="22" xfId="1" applyFont="1" applyBorder="1" applyAlignment="1">
      <alignment horizontal="right" vertical="center"/>
    </xf>
    <xf numFmtId="164" fontId="7" fillId="0" borderId="22" xfId="1" applyFont="1" applyBorder="1" applyAlignment="1">
      <alignment horizontal="right" vertical="top"/>
    </xf>
    <xf numFmtId="164" fontId="12" fillId="0" borderId="22" xfId="1" applyFont="1" applyFill="1" applyBorder="1" applyAlignment="1">
      <alignment horizontal="right" vertical="center"/>
    </xf>
    <xf numFmtId="164" fontId="12" fillId="0" borderId="21" xfId="1" applyFont="1" applyFill="1" applyBorder="1" applyAlignment="1">
      <alignment vertical="center"/>
    </xf>
    <xf numFmtId="164" fontId="12" fillId="0" borderId="21" xfId="1" applyFont="1" applyFill="1" applyBorder="1" applyAlignment="1">
      <alignment horizontal="justify" vertical="center" wrapText="1"/>
    </xf>
    <xf numFmtId="164" fontId="12" fillId="0" borderId="22" xfId="1" applyFont="1" applyFill="1" applyBorder="1" applyAlignment="1">
      <alignment vertical="center"/>
    </xf>
    <xf numFmtId="164" fontId="7" fillId="0" borderId="21" xfId="1" applyFont="1" applyFill="1" applyBorder="1" applyAlignment="1">
      <alignment vertical="center" wrapText="1"/>
    </xf>
    <xf numFmtId="164" fontId="7" fillId="0" borderId="22" xfId="1" applyFont="1" applyFill="1" applyBorder="1" applyAlignment="1">
      <alignment horizontal="right" vertical="center"/>
    </xf>
    <xf numFmtId="164" fontId="7" fillId="0" borderId="22" xfId="1" applyFont="1" applyFill="1" applyBorder="1" applyAlignment="1">
      <alignment horizontal="right" vertical="top"/>
    </xf>
    <xf numFmtId="164" fontId="12" fillId="0" borderId="22" xfId="1" applyFont="1" applyFill="1" applyBorder="1" applyAlignment="1">
      <alignment horizontal="center" vertical="center"/>
    </xf>
    <xf numFmtId="164" fontId="7" fillId="0" borderId="21" xfId="1" applyFont="1" applyBorder="1" applyAlignment="1">
      <alignment horizontal="justify" wrapText="1"/>
    </xf>
    <xf numFmtId="164" fontId="12" fillId="0" borderId="21" xfId="1" applyFont="1" applyFill="1" applyBorder="1" applyAlignment="1">
      <alignment vertical="center" wrapText="1"/>
    </xf>
    <xf numFmtId="164" fontId="7" fillId="0" borderId="22" xfId="1" applyFont="1" applyFill="1" applyBorder="1" applyAlignment="1"/>
    <xf numFmtId="164" fontId="7" fillId="0" borderId="22" xfId="1" applyFont="1" applyFill="1" applyBorder="1"/>
    <xf numFmtId="164" fontId="7" fillId="0" borderId="18" xfId="1" applyFont="1" applyBorder="1" applyAlignment="1">
      <alignment wrapText="1"/>
    </xf>
    <xf numFmtId="164" fontId="7" fillId="0" borderId="22" xfId="1" applyFont="1" applyBorder="1" applyAlignment="1">
      <alignment wrapText="1"/>
    </xf>
    <xf numFmtId="164" fontId="7" fillId="0" borderId="21" xfId="1" applyFont="1" applyBorder="1" applyAlignment="1">
      <alignment wrapText="1"/>
    </xf>
    <xf numFmtId="164" fontId="7" fillId="0" borderId="22" xfId="1" applyFont="1" applyBorder="1" applyAlignment="1">
      <alignment horizontal="right" vertical="center" wrapText="1"/>
    </xf>
    <xf numFmtId="164" fontId="7" fillId="0" borderId="22" xfId="1" applyFont="1" applyBorder="1" applyAlignment="1">
      <alignment horizontal="right" vertical="top" wrapText="1"/>
    </xf>
    <xf numFmtId="164" fontId="7" fillId="0" borderId="24" xfId="1" applyFont="1" applyBorder="1" applyAlignment="1">
      <alignment horizontal="right" vertical="center" wrapText="1"/>
    </xf>
    <xf numFmtId="164" fontId="7" fillId="0" borderId="29" xfId="1" applyFont="1" applyBorder="1" applyAlignment="1">
      <alignment vertical="center" wrapText="1"/>
    </xf>
    <xf numFmtId="164" fontId="7" fillId="0" borderId="0" xfId="1" applyFont="1" applyFill="1" applyBorder="1"/>
    <xf numFmtId="164" fontId="7" fillId="0" borderId="20" xfId="1" applyFont="1" applyFill="1" applyBorder="1"/>
    <xf numFmtId="0" fontId="11" fillId="0" borderId="4" xfId="0" applyFont="1" applyFill="1" applyBorder="1"/>
    <xf numFmtId="164" fontId="10" fillId="0" borderId="0" xfId="1" applyFont="1" applyFill="1" applyBorder="1"/>
    <xf numFmtId="0" fontId="11" fillId="0" borderId="0" xfId="0" applyFont="1" applyFill="1" applyBorder="1"/>
    <xf numFmtId="164" fontId="11" fillId="0" borderId="10" xfId="1" applyFont="1" applyFill="1" applyBorder="1"/>
    <xf numFmtId="164" fontId="11" fillId="0" borderId="0" xfId="1" applyFont="1" applyFill="1" applyBorder="1"/>
    <xf numFmtId="164" fontId="10" fillId="0" borderId="5" xfId="1" applyFont="1" applyFill="1" applyBorder="1"/>
    <xf numFmtId="164" fontId="10" fillId="0" borderId="16" xfId="1" applyFont="1" applyFill="1" applyBorder="1"/>
    <xf numFmtId="164" fontId="4" fillId="0" borderId="8" xfId="1" applyFont="1" applyBorder="1" applyAlignment="1">
      <alignment horizontal="center"/>
    </xf>
    <xf numFmtId="164" fontId="4" fillId="0" borderId="9" xfId="1" applyFont="1" applyBorder="1" applyAlignment="1">
      <alignment horizontal="center"/>
    </xf>
    <xf numFmtId="0" fontId="15" fillId="0" borderId="1" xfId="2" applyFont="1" applyBorder="1" applyAlignment="1">
      <alignment horizontal="left" vertical="center"/>
    </xf>
    <xf numFmtId="0" fontId="17" fillId="0" borderId="0" xfId="0" applyFont="1" applyAlignment="1">
      <alignment horizontal="center" wrapText="1"/>
    </xf>
    <xf numFmtId="0" fontId="17" fillId="0" borderId="0" xfId="0" applyFont="1" applyAlignment="1">
      <alignment wrapText="1"/>
    </xf>
    <xf numFmtId="0" fontId="15" fillId="0" borderId="0" xfId="2" applyFont="1" applyAlignment="1">
      <alignment wrapText="1"/>
    </xf>
    <xf numFmtId="0" fontId="15" fillId="0" borderId="6" xfId="2" applyFont="1" applyBorder="1" applyAlignment="1">
      <alignment horizontal="left" vertical="center"/>
    </xf>
    <xf numFmtId="0" fontId="18" fillId="0" borderId="0" xfId="0" applyFont="1" applyAlignment="1">
      <alignment horizontal="center" wrapText="1"/>
    </xf>
    <xf numFmtId="0" fontId="19" fillId="0" borderId="0" xfId="2" applyFont="1" applyAlignment="1">
      <alignment horizontal="center" wrapText="1"/>
    </xf>
    <xf numFmtId="0" fontId="18" fillId="0" borderId="0" xfId="2" applyFont="1" applyAlignment="1">
      <alignment wrapText="1"/>
    </xf>
    <xf numFmtId="0" fontId="18" fillId="0" borderId="19" xfId="2" applyFont="1" applyBorder="1" applyAlignment="1">
      <alignment horizontal="left" vertical="center"/>
    </xf>
    <xf numFmtId="14" fontId="15" fillId="0" borderId="0" xfId="0" applyNumberFormat="1" applyFont="1" applyAlignment="1">
      <alignment horizontal="left" vertical="center" wrapText="1"/>
    </xf>
    <xf numFmtId="0" fontId="20" fillId="0" borderId="0" xfId="0" applyFont="1"/>
    <xf numFmtId="0" fontId="18" fillId="0" borderId="21" xfId="2" applyFont="1" applyBorder="1" applyAlignment="1">
      <alignment horizontal="left" vertical="center"/>
    </xf>
    <xf numFmtId="0" fontId="18" fillId="0" borderId="34" xfId="2" applyFont="1" applyBorder="1" applyAlignment="1">
      <alignment horizontal="left" vertical="center"/>
    </xf>
    <xf numFmtId="0" fontId="15" fillId="0" borderId="0" xfId="0" applyFont="1" applyAlignment="1">
      <alignment horizontal="left" vertical="center" wrapText="1"/>
    </xf>
    <xf numFmtId="0" fontId="18" fillId="0" borderId="0" xfId="0" applyFont="1" applyAlignment="1">
      <alignment horizontal="left" vertical="center" wrapText="1"/>
    </xf>
    <xf numFmtId="0" fontId="21" fillId="0" borderId="4" xfId="2" applyFont="1" applyBorder="1" applyAlignment="1">
      <alignment horizontal="left" vertical="center"/>
    </xf>
    <xf numFmtId="164" fontId="15" fillId="0" borderId="0" xfId="1" applyFont="1" applyBorder="1" applyAlignment="1">
      <alignment horizontal="left" vertical="center" wrapText="1"/>
    </xf>
    <xf numFmtId="0" fontId="18" fillId="0" borderId="35" xfId="2" applyFont="1" applyBorder="1" applyAlignment="1">
      <alignment vertical="center"/>
    </xf>
    <xf numFmtId="164" fontId="18" fillId="0" borderId="12" xfId="1" applyFont="1" applyFill="1" applyBorder="1" applyAlignment="1">
      <alignment vertical="center"/>
    </xf>
    <xf numFmtId="164" fontId="18" fillId="0" borderId="36" xfId="1" applyFont="1" applyBorder="1" applyAlignment="1">
      <alignment horizontal="left" vertical="center" wrapText="1"/>
    </xf>
    <xf numFmtId="0" fontId="18" fillId="0" borderId="4" xfId="0" applyFont="1" applyBorder="1" applyAlignment="1">
      <alignment vertical="center"/>
    </xf>
    <xf numFmtId="0" fontId="18" fillId="0" borderId="37" xfId="0" applyFont="1" applyBorder="1" applyAlignment="1">
      <alignment vertical="center"/>
    </xf>
    <xf numFmtId="44" fontId="20" fillId="0" borderId="5" xfId="4" applyFont="1" applyBorder="1" applyAlignment="1">
      <alignment horizontal="left"/>
    </xf>
    <xf numFmtId="0" fontId="20" fillId="0" borderId="0" xfId="0" applyFont="1" applyAlignment="1">
      <alignment horizontal="left"/>
    </xf>
    <xf numFmtId="0" fontId="20" fillId="0" borderId="5" xfId="0" applyFont="1" applyBorder="1" applyAlignment="1">
      <alignment horizontal="left"/>
    </xf>
    <xf numFmtId="9" fontId="15" fillId="0" borderId="0" xfId="0" applyNumberFormat="1" applyFont="1" applyAlignment="1">
      <alignment horizontal="left" vertical="center" wrapText="1"/>
    </xf>
    <xf numFmtId="0" fontId="18" fillId="0" borderId="21" xfId="2" applyFont="1" applyBorder="1" applyAlignment="1">
      <alignment vertical="center"/>
    </xf>
    <xf numFmtId="0" fontId="15" fillId="0" borderId="22" xfId="0" applyFont="1" applyBorder="1" applyAlignment="1">
      <alignment horizontal="left" vertical="center" wrapText="1"/>
    </xf>
    <xf numFmtId="0" fontId="19" fillId="0" borderId="17" xfId="0" applyFont="1" applyBorder="1" applyAlignment="1">
      <alignment horizontal="left" vertical="center" wrapText="1"/>
    </xf>
    <xf numFmtId="0" fontId="18" fillId="0" borderId="38" xfId="2" applyFont="1" applyBorder="1" applyAlignment="1">
      <alignment horizontal="left" vertical="center"/>
    </xf>
    <xf numFmtId="0" fontId="18" fillId="0" borderId="42" xfId="0" applyFont="1" applyBorder="1" applyAlignment="1">
      <alignment horizontal="left" vertical="center"/>
    </xf>
    <xf numFmtId="0" fontId="18" fillId="0" borderId="0" xfId="0" applyFont="1" applyAlignment="1">
      <alignment horizontal="center" vertical="center" wrapText="1"/>
    </xf>
    <xf numFmtId="0" fontId="15" fillId="0" borderId="0" xfId="0" applyFont="1" applyAlignment="1">
      <alignment vertical="top" wrapText="1"/>
    </xf>
    <xf numFmtId="0" fontId="18" fillId="0" borderId="18" xfId="0" applyFont="1" applyBorder="1" applyAlignment="1">
      <alignment vertical="center"/>
    </xf>
    <xf numFmtId="0" fontId="20" fillId="0" borderId="17" xfId="0" applyFont="1" applyBorder="1"/>
    <xf numFmtId="0" fontId="15" fillId="0" borderId="22" xfId="0" applyFont="1" applyBorder="1" applyAlignment="1">
      <alignment vertical="center"/>
    </xf>
    <xf numFmtId="0" fontId="15" fillId="0" borderId="0" xfId="0" applyFont="1" applyAlignment="1">
      <alignment vertical="center"/>
    </xf>
    <xf numFmtId="0" fontId="19" fillId="0" borderId="17" xfId="0" applyFont="1" applyBorder="1" applyAlignment="1">
      <alignment vertical="center"/>
    </xf>
    <xf numFmtId="0" fontId="18" fillId="0" borderId="32" xfId="0" applyFont="1" applyBorder="1" applyAlignment="1">
      <alignment horizontal="left" vertical="center"/>
    </xf>
    <xf numFmtId="0" fontId="18" fillId="0" borderId="0" xfId="0" applyFont="1" applyAlignment="1">
      <alignment vertical="center"/>
    </xf>
    <xf numFmtId="0" fontId="18" fillId="0" borderId="34" xfId="0" applyFont="1" applyBorder="1" applyAlignment="1">
      <alignment horizontal="left" vertical="center"/>
    </xf>
    <xf numFmtId="0" fontId="15" fillId="0" borderId="0" xfId="0" applyFont="1" applyAlignment="1">
      <alignment horizontal="left" vertical="top" wrapText="1"/>
    </xf>
    <xf numFmtId="0" fontId="15" fillId="0" borderId="0" xfId="0" applyFont="1" applyAlignment="1">
      <alignment horizontal="left" vertical="center"/>
    </xf>
    <xf numFmtId="0" fontId="15" fillId="0" borderId="0" xfId="0" applyFont="1"/>
    <xf numFmtId="0" fontId="15" fillId="0" borderId="17" xfId="0" applyFont="1" applyBorder="1" applyAlignment="1">
      <alignment horizontal="left" vertical="center" wrapText="1"/>
    </xf>
    <xf numFmtId="0" fontId="15" fillId="0" borderId="0" xfId="2" applyFont="1" applyAlignment="1">
      <alignment vertical="top" textRotation="255" wrapText="1"/>
    </xf>
    <xf numFmtId="0" fontId="20" fillId="0" borderId="0" xfId="0" applyFont="1" applyAlignment="1">
      <alignment vertical="top" textRotation="255"/>
    </xf>
    <xf numFmtId="0" fontId="18" fillId="0" borderId="39" xfId="2" applyFont="1" applyBorder="1" applyAlignment="1">
      <alignment horizontal="left" vertical="center" wrapText="1"/>
    </xf>
    <xf numFmtId="0" fontId="18" fillId="4" borderId="34" xfId="0" applyFont="1" applyFill="1" applyBorder="1" applyAlignment="1">
      <alignment horizontal="left" vertical="center"/>
    </xf>
    <xf numFmtId="0" fontId="18" fillId="4" borderId="44" xfId="0" applyFont="1" applyFill="1" applyBorder="1" applyAlignment="1">
      <alignment horizontal="left" vertical="center"/>
    </xf>
    <xf numFmtId="0" fontId="15" fillId="0" borderId="21" xfId="0" applyFont="1" applyBorder="1" applyAlignment="1">
      <alignment horizontal="justify" vertical="justify" wrapText="1"/>
    </xf>
    <xf numFmtId="0" fontId="15" fillId="0" borderId="17" xfId="0" applyFont="1" applyBorder="1" applyAlignment="1">
      <alignment horizontal="justify" vertical="justify" wrapText="1"/>
    </xf>
    <xf numFmtId="0" fontId="15" fillId="0" borderId="22" xfId="0" applyFont="1" applyBorder="1" applyAlignment="1">
      <alignment horizontal="justify" vertical="justify" wrapText="1"/>
    </xf>
    <xf numFmtId="0" fontId="15" fillId="0" borderId="21" xfId="0" applyFont="1" applyBorder="1" applyAlignment="1">
      <alignment horizontal="left" vertical="center" wrapText="1"/>
    </xf>
    <xf numFmtId="0" fontId="15" fillId="0" borderId="17" xfId="0" applyFont="1" applyBorder="1" applyAlignment="1">
      <alignment horizontal="left" vertical="center" wrapText="1"/>
    </xf>
    <xf numFmtId="0" fontId="15" fillId="0" borderId="40" xfId="0" applyFont="1" applyBorder="1" applyAlignment="1">
      <alignment horizontal="justify" vertical="justify" wrapText="1"/>
    </xf>
    <xf numFmtId="0" fontId="15" fillId="0" borderId="41" xfId="0" applyFont="1" applyBorder="1" applyAlignment="1">
      <alignment horizontal="justify" vertical="justify" wrapText="1"/>
    </xf>
    <xf numFmtId="0" fontId="15" fillId="0" borderId="26" xfId="0" applyFont="1" applyBorder="1" applyAlignment="1">
      <alignment horizontal="justify" vertical="justify" wrapText="1"/>
    </xf>
    <xf numFmtId="0" fontId="15" fillId="0" borderId="18" xfId="0" applyFont="1" applyBorder="1" applyAlignment="1">
      <alignment horizontal="justify" vertical="justify" wrapText="1"/>
    </xf>
    <xf numFmtId="0" fontId="18" fillId="0" borderId="18" xfId="0" applyFont="1" applyBorder="1" applyAlignment="1">
      <alignment horizontal="justify" vertical="justify" wrapText="1"/>
    </xf>
    <xf numFmtId="0" fontId="18" fillId="0" borderId="17" xfId="0" applyFont="1" applyBorder="1" applyAlignment="1">
      <alignment horizontal="justify" vertical="justify" wrapText="1"/>
    </xf>
    <xf numFmtId="0" fontId="18" fillId="0" borderId="22" xfId="0" applyFont="1" applyBorder="1" applyAlignment="1">
      <alignment horizontal="justify" vertical="justify" wrapText="1"/>
    </xf>
    <xf numFmtId="164" fontId="18" fillId="0" borderId="6" xfId="1" applyFont="1" applyFill="1" applyBorder="1" applyAlignment="1">
      <alignment horizontal="center" vertical="center"/>
    </xf>
    <xf numFmtId="164" fontId="18" fillId="0" borderId="8" xfId="1" applyFont="1" applyFill="1" applyBorder="1" applyAlignment="1">
      <alignment horizontal="center" vertical="center"/>
    </xf>
    <xf numFmtId="164" fontId="18" fillId="0" borderId="7" xfId="1" applyFont="1" applyFill="1" applyBorder="1" applyAlignment="1">
      <alignment horizontal="center" vertical="center"/>
    </xf>
    <xf numFmtId="0" fontId="18" fillId="0" borderId="4" xfId="0" applyFont="1" applyBorder="1" applyAlignment="1">
      <alignment horizontal="center" vertical="center"/>
    </xf>
    <xf numFmtId="165" fontId="15" fillId="0" borderId="21" xfId="0" applyNumberFormat="1" applyFont="1" applyBorder="1" applyAlignment="1">
      <alignment horizontal="justify" vertical="justify"/>
    </xf>
    <xf numFmtId="0" fontId="15" fillId="0" borderId="17" xfId="0" applyFont="1" applyBorder="1" applyAlignment="1">
      <alignment horizontal="justify" vertical="justify"/>
    </xf>
    <xf numFmtId="0" fontId="15" fillId="0" borderId="22" xfId="0" applyFont="1" applyBorder="1" applyAlignment="1">
      <alignment horizontal="justify" vertical="justify"/>
    </xf>
    <xf numFmtId="9" fontId="15" fillId="0" borderId="21" xfId="5" applyFont="1" applyFill="1" applyBorder="1" applyAlignment="1">
      <alignment horizontal="justify" vertical="justify"/>
    </xf>
    <xf numFmtId="9" fontId="15" fillId="0" borderId="17" xfId="5" applyFont="1" applyFill="1" applyBorder="1" applyAlignment="1">
      <alignment horizontal="justify" vertical="justify"/>
    </xf>
    <xf numFmtId="9" fontId="15" fillId="0" borderId="22" xfId="5" applyFont="1" applyFill="1" applyBorder="1" applyAlignment="1">
      <alignment horizontal="justify" vertical="justify"/>
    </xf>
    <xf numFmtId="0" fontId="15" fillId="0" borderId="21" xfId="0" applyFont="1" applyBorder="1" applyAlignment="1">
      <alignment horizontal="justify" vertical="justify"/>
    </xf>
    <xf numFmtId="0" fontId="23" fillId="0" borderId="30" xfId="0" applyFont="1" applyBorder="1" applyAlignment="1">
      <alignment horizontal="center" vertical="center" wrapText="1"/>
    </xf>
    <xf numFmtId="0" fontId="23" fillId="0" borderId="31" xfId="0" applyFont="1" applyBorder="1" applyAlignment="1">
      <alignment horizontal="center" vertical="center" wrapText="1"/>
    </xf>
    <xf numFmtId="0" fontId="18" fillId="0" borderId="8" xfId="0" applyFont="1" applyBorder="1" applyAlignment="1">
      <alignment horizontal="center" wrapText="1"/>
    </xf>
    <xf numFmtId="0" fontId="21" fillId="0" borderId="32" xfId="2" applyFont="1" applyBorder="1" applyAlignment="1">
      <alignment horizontal="left" vertical="center"/>
    </xf>
    <xf numFmtId="0" fontId="21" fillId="0" borderId="34" xfId="2" applyFont="1" applyBorder="1" applyAlignment="1">
      <alignment horizontal="left" vertical="center"/>
    </xf>
    <xf numFmtId="14" fontId="18" fillId="0" borderId="33" xfId="2" applyNumberFormat="1" applyFont="1" applyBorder="1" applyAlignment="1">
      <alignment horizontal="justify" vertical="justify"/>
    </xf>
    <xf numFmtId="14" fontId="18" fillId="0" borderId="20" xfId="2" applyNumberFormat="1" applyFont="1" applyBorder="1" applyAlignment="1">
      <alignment horizontal="justify" vertical="justify"/>
    </xf>
    <xf numFmtId="14" fontId="18" fillId="0" borderId="17" xfId="2" applyNumberFormat="1" applyFont="1" applyBorder="1" applyAlignment="1">
      <alignment horizontal="justify" vertical="justify"/>
    </xf>
    <xf numFmtId="14" fontId="18" fillId="0" borderId="22" xfId="2" applyNumberFormat="1" applyFont="1" applyBorder="1" applyAlignment="1">
      <alignment horizontal="justify" vertical="justify"/>
    </xf>
    <xf numFmtId="0" fontId="18" fillId="0" borderId="42" xfId="0" applyFont="1" applyBorder="1" applyAlignment="1">
      <alignment horizontal="center" vertical="center"/>
    </xf>
    <xf numFmtId="0" fontId="18" fillId="0" borderId="43" xfId="0" applyFont="1" applyBorder="1" applyAlignment="1">
      <alignment horizontal="center" vertical="center"/>
    </xf>
    <xf numFmtId="0" fontId="18" fillId="0" borderId="21" xfId="0" applyFont="1" applyBorder="1" applyAlignment="1">
      <alignment horizontal="left" vertical="center"/>
    </xf>
    <xf numFmtId="0" fontId="18" fillId="0" borderId="17" xfId="0" applyFont="1" applyBorder="1" applyAlignment="1">
      <alignment horizontal="left" vertical="center"/>
    </xf>
    <xf numFmtId="0" fontId="22" fillId="0" borderId="22" xfId="0" applyFont="1" applyBorder="1" applyAlignment="1">
      <alignment horizontal="center" vertical="center" textRotation="90" wrapText="1"/>
    </xf>
    <xf numFmtId="0" fontId="15" fillId="0" borderId="21" xfId="0" applyFont="1" applyBorder="1" applyAlignment="1">
      <alignment horizontal="justify" vertical="top" wrapText="1"/>
    </xf>
    <xf numFmtId="0" fontId="15" fillId="0" borderId="17" xfId="0" applyFont="1" applyBorder="1" applyAlignment="1">
      <alignment horizontal="justify" vertical="top" wrapText="1"/>
    </xf>
    <xf numFmtId="0" fontId="18" fillId="0" borderId="25" xfId="0" applyFont="1" applyBorder="1" applyAlignment="1">
      <alignment horizontal="left" vertical="center"/>
    </xf>
    <xf numFmtId="0" fontId="18" fillId="0" borderId="41" xfId="0" applyFont="1" applyBorder="1" applyAlignment="1">
      <alignment horizontal="left" vertical="center"/>
    </xf>
    <xf numFmtId="0" fontId="22" fillId="0" borderId="5" xfId="0" applyFont="1" applyBorder="1" applyAlignment="1">
      <alignment horizontal="center" vertical="center" textRotation="90" wrapText="1"/>
    </xf>
    <xf numFmtId="0" fontId="22" fillId="0" borderId="7" xfId="0" applyFont="1" applyBorder="1" applyAlignment="1">
      <alignment horizontal="center" vertical="center" textRotation="90" wrapText="1"/>
    </xf>
    <xf numFmtId="0" fontId="15" fillId="0" borderId="23" xfId="0" applyFont="1" applyBorder="1" applyAlignment="1">
      <alignment horizontal="justify" vertical="top" wrapText="1"/>
    </xf>
    <xf numFmtId="0" fontId="15" fillId="0" borderId="45" xfId="0" applyFont="1" applyBorder="1" applyAlignment="1">
      <alignment horizontal="justify" vertical="top" wrapText="1"/>
    </xf>
    <xf numFmtId="0" fontId="16" fillId="0" borderId="3" xfId="0" applyFont="1" applyBorder="1" applyAlignment="1">
      <alignment horizontal="center" wrapText="1"/>
    </xf>
    <xf numFmtId="0" fontId="18" fillId="0" borderId="21" xfId="0" applyFont="1" applyBorder="1" applyAlignment="1">
      <alignment horizontal="justify" vertical="justify"/>
    </xf>
    <xf numFmtId="0" fontId="18" fillId="0" borderId="17" xfId="0" applyFont="1" applyBorder="1" applyAlignment="1">
      <alignment horizontal="justify" vertical="justify"/>
    </xf>
    <xf numFmtId="0" fontId="18" fillId="0" borderId="22" xfId="0" applyFont="1" applyBorder="1" applyAlignment="1">
      <alignment horizontal="justify" vertical="justify"/>
    </xf>
    <xf numFmtId="0" fontId="3" fillId="0" borderId="1" xfId="0" applyFont="1" applyBorder="1" applyAlignment="1">
      <alignment horizontal="center"/>
    </xf>
    <xf numFmtId="0" fontId="3" fillId="0" borderId="3" xfId="0" applyFont="1" applyBorder="1" applyAlignment="1">
      <alignment horizontal="center"/>
    </xf>
    <xf numFmtId="0" fontId="3" fillId="0" borderId="2" xfId="0" applyFont="1" applyBorder="1" applyAlignment="1">
      <alignment horizontal="center"/>
    </xf>
    <xf numFmtId="0" fontId="3" fillId="3" borderId="4" xfId="0" applyFont="1" applyFill="1" applyBorder="1" applyAlignment="1">
      <alignment horizontal="center"/>
    </xf>
    <xf numFmtId="0" fontId="3" fillId="3" borderId="0" xfId="0" applyFont="1" applyFill="1" applyBorder="1" applyAlignment="1">
      <alignment horizontal="center"/>
    </xf>
    <xf numFmtId="0" fontId="3" fillId="3" borderId="5" xfId="0" applyFont="1" applyFill="1" applyBorder="1" applyAlignment="1">
      <alignment horizontal="center"/>
    </xf>
    <xf numFmtId="0" fontId="3" fillId="0" borderId="4" xfId="0" applyFont="1" applyFill="1" applyBorder="1" applyAlignment="1">
      <alignment horizontal="center"/>
    </xf>
    <xf numFmtId="0" fontId="3" fillId="0" borderId="0" xfId="0" applyFont="1" applyFill="1" applyBorder="1" applyAlignment="1">
      <alignment horizontal="center"/>
    </xf>
    <xf numFmtId="0" fontId="3" fillId="0" borderId="4" xfId="0" applyFont="1" applyBorder="1" applyAlignment="1">
      <alignment horizontal="center"/>
    </xf>
    <xf numFmtId="0" fontId="3" fillId="0" borderId="0" xfId="0" applyFont="1" applyBorder="1" applyAlignment="1">
      <alignment horizontal="center"/>
    </xf>
    <xf numFmtId="0" fontId="3" fillId="0" borderId="5" xfId="0" applyFont="1" applyBorder="1" applyAlignment="1">
      <alignment horizontal="center"/>
    </xf>
    <xf numFmtId="0" fontId="10" fillId="0" borderId="13" xfId="0" applyFont="1" applyBorder="1" applyAlignment="1">
      <alignment horizontal="center" vertical="center"/>
    </xf>
    <xf numFmtId="0" fontId="10" fillId="0" borderId="27"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10" fillId="0" borderId="28" xfId="0" applyFont="1" applyBorder="1" applyAlignment="1">
      <alignment horizontal="center" vertical="center"/>
    </xf>
    <xf numFmtId="0" fontId="25" fillId="0" borderId="0" xfId="0" applyFont="1" applyAlignment="1">
      <alignment textRotation="255"/>
    </xf>
    <xf numFmtId="0" fontId="26" fillId="0" borderId="0" xfId="0" applyFont="1" applyAlignment="1">
      <alignment horizontal="center"/>
    </xf>
    <xf numFmtId="0" fontId="27" fillId="0" borderId="46" xfId="0" applyFont="1" applyBorder="1" applyAlignment="1">
      <alignment horizontal="center" vertical="center"/>
    </xf>
    <xf numFmtId="0" fontId="29" fillId="0" borderId="0" xfId="0" applyFont="1" applyAlignment="1">
      <alignment horizontal="center"/>
    </xf>
    <xf numFmtId="0" fontId="24" fillId="0" borderId="0" xfId="0" applyFont="1" applyAlignment="1">
      <alignment horizontal="right"/>
    </xf>
    <xf numFmtId="0" fontId="27" fillId="0" borderId="47" xfId="0" applyFont="1" applyBorder="1" applyAlignment="1">
      <alignment horizontal="center" vertical="center"/>
    </xf>
    <xf numFmtId="0" fontId="20" fillId="0" borderId="0" xfId="0" applyFont="1" applyAlignment="1">
      <alignment textRotation="255"/>
    </xf>
    <xf numFmtId="0" fontId="18" fillId="0" borderId="0" xfId="2" applyFont="1"/>
    <xf numFmtId="0" fontId="27" fillId="0" borderId="41" xfId="0" applyFont="1" applyBorder="1" applyAlignment="1">
      <alignment horizontal="center" vertical="center"/>
    </xf>
    <xf numFmtId="0" fontId="30" fillId="0" borderId="0" xfId="0" applyFont="1" applyAlignment="1">
      <alignment horizontal="center"/>
    </xf>
    <xf numFmtId="0" fontId="30" fillId="0" borderId="0" xfId="0" applyFont="1" applyAlignment="1">
      <alignment horizontal="center"/>
    </xf>
    <xf numFmtId="0" fontId="30" fillId="0" borderId="0" xfId="0" applyFont="1"/>
    <xf numFmtId="0" fontId="19" fillId="0" borderId="0" xfId="0" applyFont="1" applyAlignment="1">
      <alignment horizontal="center"/>
    </xf>
    <xf numFmtId="0" fontId="19" fillId="0" borderId="0" xfId="0" applyFont="1" applyAlignment="1">
      <alignment horizontal="center"/>
    </xf>
    <xf numFmtId="0" fontId="30" fillId="0" borderId="1" xfId="0" applyFont="1" applyBorder="1" applyAlignment="1">
      <alignment horizontal="center"/>
    </xf>
    <xf numFmtId="0" fontId="30" fillId="0" borderId="3" xfId="0" applyFont="1" applyBorder="1" applyAlignment="1">
      <alignment horizontal="center"/>
    </xf>
    <xf numFmtId="0" fontId="31" fillId="0" borderId="2" xfId="0" applyFont="1" applyBorder="1" applyAlignment="1">
      <alignment horizontal="right"/>
    </xf>
    <xf numFmtId="14" fontId="32" fillId="0" borderId="0" xfId="0" applyNumberFormat="1" applyFont="1" applyAlignment="1">
      <alignment horizontal="center"/>
    </xf>
    <xf numFmtId="0" fontId="32" fillId="0" borderId="0" xfId="0" applyFont="1" applyAlignment="1">
      <alignment horizontal="center"/>
    </xf>
    <xf numFmtId="14" fontId="32" fillId="0" borderId="4" xfId="0" applyNumberFormat="1" applyFont="1" applyBorder="1" applyAlignment="1">
      <alignment horizontal="center"/>
    </xf>
    <xf numFmtId="0" fontId="19" fillId="0" borderId="5" xfId="0" applyFont="1" applyBorder="1" applyAlignment="1">
      <alignment horizontal="center"/>
    </xf>
    <xf numFmtId="14" fontId="32" fillId="0" borderId="6" xfId="0" applyNumberFormat="1" applyFont="1" applyBorder="1" applyAlignment="1">
      <alignment horizontal="center"/>
    </xf>
    <xf numFmtId="0" fontId="32" fillId="0" borderId="8" xfId="0" applyFont="1" applyBorder="1" applyAlignment="1">
      <alignment horizontal="center"/>
    </xf>
    <xf numFmtId="0" fontId="20" fillId="0" borderId="7" xfId="0" applyFont="1" applyBorder="1"/>
    <xf numFmtId="0" fontId="18" fillId="0" borderId="0" xfId="2" applyFont="1" applyAlignment="1">
      <alignment horizontal="left" vertical="center"/>
    </xf>
    <xf numFmtId="0" fontId="32" fillId="0" borderId="0" xfId="0" applyFont="1" applyAlignment="1">
      <alignment horizontal="justify" vertical="justify"/>
    </xf>
    <xf numFmtId="0" fontId="15" fillId="0" borderId="0" xfId="0" applyFont="1" applyAlignment="1">
      <alignment textRotation="255" wrapText="1"/>
    </xf>
    <xf numFmtId="0" fontId="18" fillId="0" borderId="0" xfId="2" applyFont="1" applyAlignment="1">
      <alignment horizontal="left" vertical="center"/>
    </xf>
    <xf numFmtId="0" fontId="33" fillId="0" borderId="0" xfId="0" applyFont="1" applyAlignment="1">
      <alignment horizontal="justify" vertical="justify"/>
    </xf>
    <xf numFmtId="0" fontId="32" fillId="0" borderId="0" xfId="0" applyFont="1" applyAlignment="1">
      <alignment horizontal="justify" vertical="justify"/>
    </xf>
    <xf numFmtId="0" fontId="34" fillId="0" borderId="0" xfId="0" applyFont="1" applyAlignment="1">
      <alignment horizontal="center"/>
    </xf>
    <xf numFmtId="0" fontId="35" fillId="0" borderId="0" xfId="0" applyFont="1"/>
    <xf numFmtId="0" fontId="36" fillId="0" borderId="0" xfId="0" applyFont="1"/>
    <xf numFmtId="0" fontId="36" fillId="0" borderId="0" xfId="0" applyFont="1" applyAlignment="1">
      <alignment horizontal="right"/>
    </xf>
    <xf numFmtId="0" fontId="37" fillId="0" borderId="0" xfId="0" applyFont="1"/>
    <xf numFmtId="0" fontId="36" fillId="0" borderId="0" xfId="6" applyFont="1" applyAlignment="1">
      <alignment horizontal="right" vertical="top" wrapText="1"/>
    </xf>
    <xf numFmtId="0" fontId="38" fillId="0" borderId="0" xfId="0" applyFont="1"/>
    <xf numFmtId="0" fontId="39" fillId="0" borderId="0" xfId="0" applyFont="1"/>
    <xf numFmtId="0" fontId="40" fillId="0" borderId="0" xfId="0" applyFont="1"/>
    <xf numFmtId="49" fontId="36" fillId="0" borderId="0" xfId="6" applyNumberFormat="1" applyFont="1" applyAlignment="1">
      <alignment horizontal="right" vertical="top" wrapText="1"/>
    </xf>
    <xf numFmtId="0" fontId="35" fillId="0" borderId="0" xfId="0" applyFont="1" applyAlignment="1">
      <alignment textRotation="255"/>
    </xf>
    <xf numFmtId="0" fontId="30" fillId="0" borderId="19" xfId="0" applyFont="1" applyBorder="1" applyAlignment="1">
      <alignment horizontal="center" vertical="center"/>
    </xf>
    <xf numFmtId="0" fontId="30" fillId="0" borderId="20" xfId="0" applyFont="1" applyBorder="1" applyAlignment="1">
      <alignment horizontal="center" vertical="center"/>
    </xf>
    <xf numFmtId="0" fontId="30" fillId="0" borderId="28" xfId="0" applyFont="1" applyBorder="1" applyAlignment="1">
      <alignment horizontal="center" vertical="center"/>
    </xf>
    <xf numFmtId="0" fontId="30" fillId="0" borderId="33" xfId="0" applyFont="1" applyBorder="1" applyAlignment="1">
      <alignment horizontal="center" vertical="center"/>
    </xf>
    <xf numFmtId="0" fontId="33" fillId="0" borderId="19" xfId="0" applyFont="1" applyBorder="1" applyAlignment="1">
      <alignment horizontal="center" vertical="center" wrapText="1"/>
    </xf>
    <xf numFmtId="0" fontId="33" fillId="0" borderId="20" xfId="0" applyFont="1" applyBorder="1" applyAlignment="1">
      <alignment horizontal="center" vertical="center" wrapText="1"/>
    </xf>
    <xf numFmtId="0" fontId="30" fillId="0" borderId="14" xfId="0" applyFont="1" applyBorder="1" applyAlignment="1">
      <alignment horizontal="center" vertical="center"/>
    </xf>
    <xf numFmtId="0" fontId="30" fillId="0" borderId="23" xfId="0" applyFont="1" applyBorder="1" applyAlignment="1">
      <alignment horizontal="center" vertical="center"/>
    </xf>
    <xf numFmtId="0" fontId="30" fillId="0" borderId="24" xfId="0" applyFont="1" applyBorder="1" applyAlignment="1">
      <alignment horizontal="center" vertical="center"/>
    </xf>
    <xf numFmtId="0" fontId="19" fillId="0" borderId="29" xfId="0" applyFont="1" applyBorder="1" applyAlignment="1">
      <alignment vertical="center"/>
    </xf>
    <xf numFmtId="0" fontId="19" fillId="0" borderId="45" xfId="0" applyFont="1" applyBorder="1" applyAlignment="1">
      <alignment vertical="center"/>
    </xf>
    <xf numFmtId="0" fontId="33" fillId="0" borderId="23" xfId="0" applyFont="1" applyBorder="1" applyAlignment="1">
      <alignment horizontal="center" vertical="center" wrapText="1"/>
    </xf>
    <xf numFmtId="0" fontId="33" fillId="0" borderId="24" xfId="0" applyFont="1" applyBorder="1" applyAlignment="1">
      <alignment horizontal="center" vertical="center" wrapText="1"/>
    </xf>
    <xf numFmtId="0" fontId="30" fillId="0" borderId="16" xfId="0" applyFont="1" applyBorder="1" applyAlignment="1">
      <alignment horizontal="center" vertical="center"/>
    </xf>
    <xf numFmtId="0" fontId="30" fillId="0" borderId="48" xfId="0" applyFont="1" applyBorder="1" applyAlignment="1">
      <alignment horizontal="left" vertical="justify"/>
    </xf>
    <xf numFmtId="0" fontId="30" fillId="0" borderId="14" xfId="0" applyFont="1" applyBorder="1" applyAlignment="1">
      <alignment horizontal="left" vertical="justify"/>
    </xf>
    <xf numFmtId="0" fontId="19" fillId="0" borderId="40" xfId="0" applyFont="1" applyBorder="1" applyAlignment="1">
      <alignment horizontal="center" vertical="center"/>
    </xf>
    <xf numFmtId="0" fontId="19" fillId="0" borderId="41" xfId="0" applyFont="1" applyBorder="1" applyAlignment="1">
      <alignment horizontal="center" vertical="center"/>
    </xf>
    <xf numFmtId="0" fontId="19" fillId="0" borderId="25" xfId="0" applyFont="1" applyBorder="1" applyAlignment="1">
      <alignment horizontal="center" vertical="center"/>
    </xf>
    <xf numFmtId="0" fontId="30" fillId="0" borderId="26" xfId="0" applyFont="1" applyBorder="1" applyAlignment="1">
      <alignment horizontal="center" vertical="center" wrapText="1"/>
    </xf>
    <xf numFmtId="0" fontId="30" fillId="0" borderId="49" xfId="0" applyFont="1" applyBorder="1" applyAlignment="1">
      <alignment horizontal="center" vertical="center"/>
    </xf>
    <xf numFmtId="0" fontId="20" fillId="0" borderId="21" xfId="0" applyFont="1" applyBorder="1" applyAlignment="1">
      <alignment horizontal="justify" vertical="justify"/>
    </xf>
    <xf numFmtId="0" fontId="20" fillId="0" borderId="22" xfId="0" applyFont="1" applyBorder="1" applyAlignment="1">
      <alignment horizontal="justify" vertical="justify"/>
    </xf>
    <xf numFmtId="0" fontId="19" fillId="0" borderId="18" xfId="0" applyFont="1" applyBorder="1" applyAlignment="1">
      <alignment horizontal="center"/>
    </xf>
    <xf numFmtId="0" fontId="20" fillId="0" borderId="17" xfId="0" applyFont="1" applyBorder="1" applyAlignment="1">
      <alignment horizontal="center"/>
    </xf>
    <xf numFmtId="0" fontId="19" fillId="0" borderId="21" xfId="0" applyFont="1" applyBorder="1" applyAlignment="1">
      <alignment horizontal="center"/>
    </xf>
    <xf numFmtId="0" fontId="19" fillId="0" borderId="22" xfId="0" applyFont="1" applyBorder="1" applyAlignment="1">
      <alignment horizontal="center"/>
    </xf>
    <xf numFmtId="0" fontId="20" fillId="0" borderId="18" xfId="0" applyFont="1" applyBorder="1" applyAlignment="1">
      <alignment horizontal="center"/>
    </xf>
    <xf numFmtId="0" fontId="20" fillId="0" borderId="15" xfId="0" applyFont="1" applyBorder="1"/>
    <xf numFmtId="0" fontId="20" fillId="0" borderId="22" xfId="0" applyFont="1" applyBorder="1" applyAlignment="1">
      <alignment horizontal="center"/>
    </xf>
    <xf numFmtId="0" fontId="19" fillId="0" borderId="15" xfId="0" applyFont="1" applyBorder="1"/>
    <xf numFmtId="0" fontId="30" fillId="0" borderId="21" xfId="0" applyFont="1" applyBorder="1" applyAlignment="1">
      <alignment horizontal="justify" vertical="justify"/>
    </xf>
    <xf numFmtId="0" fontId="30" fillId="0" borderId="22" xfId="0" applyFont="1" applyBorder="1" applyAlignment="1">
      <alignment horizontal="justify" vertical="justify"/>
    </xf>
    <xf numFmtId="0" fontId="20" fillId="0" borderId="21" xfId="0" applyFont="1" applyBorder="1" applyAlignment="1">
      <alignment horizontal="center"/>
    </xf>
    <xf numFmtId="0" fontId="20" fillId="0" borderId="21" xfId="0" applyFont="1" applyBorder="1" applyAlignment="1">
      <alignment horizontal="justify" vertical="top"/>
    </xf>
    <xf numFmtId="0" fontId="20" fillId="0" borderId="22" xfId="0" applyFont="1" applyBorder="1" applyAlignment="1">
      <alignment horizontal="justify" vertical="top"/>
    </xf>
    <xf numFmtId="0" fontId="20" fillId="0" borderId="23" xfId="0" applyFont="1" applyBorder="1" applyAlignment="1">
      <alignment horizontal="justify" vertical="justify"/>
    </xf>
    <xf numFmtId="0" fontId="20" fillId="0" borderId="24" xfId="0" applyFont="1" applyBorder="1" applyAlignment="1">
      <alignment horizontal="justify" vertical="justify"/>
    </xf>
    <xf numFmtId="0" fontId="20" fillId="0" borderId="29" xfId="0" applyFont="1" applyBorder="1"/>
    <xf numFmtId="0" fontId="20" fillId="0" borderId="45" xfId="0" applyFont="1" applyBorder="1"/>
    <xf numFmtId="0" fontId="20" fillId="0" borderId="23" xfId="0" applyFont="1" applyBorder="1"/>
    <xf numFmtId="0" fontId="20" fillId="0" borderId="24" xfId="0" applyFont="1" applyBorder="1"/>
    <xf numFmtId="0" fontId="20" fillId="0" borderId="16" xfId="0" applyFont="1" applyBorder="1"/>
    <xf numFmtId="0" fontId="30" fillId="0" borderId="0" xfId="0" applyFont="1" applyAlignment="1">
      <alignment horizontal="justify" vertical="justify"/>
    </xf>
    <xf numFmtId="0" fontId="20" fillId="0" borderId="35" xfId="0" applyFont="1" applyBorder="1" applyAlignment="1">
      <alignment horizontal="center"/>
    </xf>
    <xf numFmtId="0" fontId="20" fillId="0" borderId="9" xfId="0" applyFont="1" applyBorder="1" applyAlignment="1">
      <alignment horizontal="center"/>
    </xf>
    <xf numFmtId="0" fontId="20" fillId="0" borderId="36" xfId="0" applyFont="1" applyBorder="1" applyAlignment="1">
      <alignment horizontal="center"/>
    </xf>
  </cellXfs>
  <cellStyles count="7">
    <cellStyle name="Millares" xfId="1" builtinId="3"/>
    <cellStyle name="Moneda" xfId="4" builtinId="4"/>
    <cellStyle name="Normal" xfId="0" builtinId="0"/>
    <cellStyle name="Normal 11" xfId="3" xr:uid="{00000000-0005-0000-0000-000002000000}"/>
    <cellStyle name="Normal 2" xfId="2" xr:uid="{00000000-0005-0000-0000-000003000000}"/>
    <cellStyle name="Normal 47" xfId="6" xr:uid="{9F5927FE-04FF-48CA-BADF-362582C862EC}"/>
    <cellStyle name="Porcentaje" xfId="5"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2</xdr:col>
      <xdr:colOff>1247775</xdr:colOff>
      <xdr:row>3</xdr:row>
      <xdr:rowOff>0</xdr:rowOff>
    </xdr:to>
    <xdr:pic>
      <xdr:nvPicPr>
        <xdr:cNvPr id="2" name="Imagen 1" descr="C:\Users\Usuario\Desktop\A AUDITORIAS\A AUDITORIAS\2018\LOGOS\Logo 1\3ANG_LOGO.png">
          <a:extLst>
            <a:ext uri="{FF2B5EF4-FFF2-40B4-BE49-F238E27FC236}">
              <a16:creationId xmlns:a16="http://schemas.microsoft.com/office/drawing/2014/main" id="{F27F65A2-DC22-4E77-8B5D-13E908DB843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28724" cy="533400"/>
        </a:xfrm>
        <a:prstGeom prst="rect">
          <a:avLst/>
        </a:prstGeom>
        <a:noFill/>
        <a:ln>
          <a:noFill/>
        </a:ln>
      </xdr:spPr>
    </xdr:pic>
    <xdr:clientData/>
  </xdr:twoCellAnchor>
  <xdr:twoCellAnchor>
    <xdr:from>
      <xdr:col>17</xdr:col>
      <xdr:colOff>95250</xdr:colOff>
      <xdr:row>1</xdr:row>
      <xdr:rowOff>0</xdr:rowOff>
    </xdr:from>
    <xdr:to>
      <xdr:col>18</xdr:col>
      <xdr:colOff>133350</xdr:colOff>
      <xdr:row>3</xdr:row>
      <xdr:rowOff>85725</xdr:rowOff>
    </xdr:to>
    <xdr:sp macro="" textlink="">
      <xdr:nvSpPr>
        <xdr:cNvPr id="3" name="Flecha derecha 3">
          <a:hlinkClick xmlns:r="http://schemas.openxmlformats.org/officeDocument/2006/relationships" r:id="rId2"/>
          <a:extLst>
            <a:ext uri="{FF2B5EF4-FFF2-40B4-BE49-F238E27FC236}">
              <a16:creationId xmlns:a16="http://schemas.microsoft.com/office/drawing/2014/main" id="{F61DFF27-B454-45A4-8141-B0E12D14E3A4}"/>
            </a:ext>
          </a:extLst>
        </xdr:cNvPr>
        <xdr:cNvSpPr/>
      </xdr:nvSpPr>
      <xdr:spPr>
        <a:xfrm>
          <a:off x="9163050" y="26670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105833</xdr:colOff>
      <xdr:row>0</xdr:row>
      <xdr:rowOff>0</xdr:rowOff>
    </xdr:from>
    <xdr:to>
      <xdr:col>1</xdr:col>
      <xdr:colOff>1400175</xdr:colOff>
      <xdr:row>1</xdr:row>
      <xdr:rowOff>314944</xdr:rowOff>
    </xdr:to>
    <xdr:pic>
      <xdr:nvPicPr>
        <xdr:cNvPr id="3" name="Imagen 2" descr="C:\Users\Usuario\Desktop\A AUDITORIAS\A AUDITORIAS\2018\LOGOS\Logo 1\3ANG_LOGO.png">
          <a:extLst>
            <a:ext uri="{FF2B5EF4-FFF2-40B4-BE49-F238E27FC236}">
              <a16:creationId xmlns:a16="http://schemas.microsoft.com/office/drawing/2014/main" id="{AB1FAF7E-5B4D-4DD7-8F0B-42E6A49698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0608" y="0"/>
          <a:ext cx="1294342" cy="676894"/>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0</xdr:rowOff>
    </xdr:from>
    <xdr:to>
      <xdr:col>6</xdr:col>
      <xdr:colOff>800100</xdr:colOff>
      <xdr:row>1</xdr:row>
      <xdr:rowOff>223308</xdr:rowOff>
    </xdr:to>
    <xdr:sp macro="" textlink="">
      <xdr:nvSpPr>
        <xdr:cNvPr id="4" name="Flecha derecha 2">
          <a:hlinkClick xmlns:r="http://schemas.openxmlformats.org/officeDocument/2006/relationships" r:id="rId2"/>
          <a:extLst>
            <a:ext uri="{FF2B5EF4-FFF2-40B4-BE49-F238E27FC236}">
              <a16:creationId xmlns:a16="http://schemas.microsoft.com/office/drawing/2014/main" id="{DCFAB0AF-4CD6-423F-9695-64EBDE4B0965}"/>
            </a:ext>
          </a:extLst>
        </xdr:cNvPr>
        <xdr:cNvSpPr/>
      </xdr:nvSpPr>
      <xdr:spPr>
        <a:xfrm>
          <a:off x="10182225" y="0"/>
          <a:ext cx="800100" cy="585258"/>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587892</xdr:colOff>
      <xdr:row>0</xdr:row>
      <xdr:rowOff>19051</xdr:rowOff>
    </xdr:from>
    <xdr:to>
      <xdr:col>13</xdr:col>
      <xdr:colOff>676275</xdr:colOff>
      <xdr:row>3</xdr:row>
      <xdr:rowOff>152401</xdr:rowOff>
    </xdr:to>
    <xdr:pic>
      <xdr:nvPicPr>
        <xdr:cNvPr id="3" name="Imagen 2" descr="C:\Users\Usuario\Desktop\A AUDITORIAS\A AUDITORIAS\2018\LOGOS\Logo 1\3ANG_LOGO.png">
          <a:extLst>
            <a:ext uri="{FF2B5EF4-FFF2-40B4-BE49-F238E27FC236}">
              <a16:creationId xmlns:a16="http://schemas.microsoft.com/office/drawing/2014/main" id="{8F28CAB2-449D-4E08-90CC-2D75C9E7B1C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79617" y="19051"/>
          <a:ext cx="1345683" cy="819150"/>
        </a:xfrm>
        <a:prstGeom prst="rect">
          <a:avLst/>
        </a:prstGeom>
        <a:noFill/>
        <a:ln>
          <a:solidFill>
            <a:schemeClr val="accent1"/>
          </a:solidFill>
        </a:ln>
      </xdr:spPr>
    </xdr:pic>
    <xdr:clientData/>
  </xdr:twoCellAnchor>
  <xdr:twoCellAnchor editAs="oneCell">
    <xdr:from>
      <xdr:col>0</xdr:col>
      <xdr:colOff>85725</xdr:colOff>
      <xdr:row>0</xdr:row>
      <xdr:rowOff>1</xdr:rowOff>
    </xdr:from>
    <xdr:to>
      <xdr:col>1</xdr:col>
      <xdr:colOff>561975</xdr:colOff>
      <xdr:row>3</xdr:row>
      <xdr:rowOff>190501</xdr:rowOff>
    </xdr:to>
    <xdr:pic>
      <xdr:nvPicPr>
        <xdr:cNvPr id="4" name="Imagen 3" descr="C:\Users\Usuario\Desktop\A AUDITORIAS\A AUDITORIAS\2018\LOGOS\Logo 1\3ANG_LOGO.png">
          <a:extLst>
            <a:ext uri="{FF2B5EF4-FFF2-40B4-BE49-F238E27FC236}">
              <a16:creationId xmlns:a16="http://schemas.microsoft.com/office/drawing/2014/main" id="{A890FBF7-F425-40A4-93AE-7A537357179B}"/>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725" y="1"/>
          <a:ext cx="1362075" cy="876300"/>
        </a:xfrm>
        <a:prstGeom prst="rect">
          <a:avLst/>
        </a:prstGeom>
        <a:noFill/>
        <a:ln>
          <a:solidFill>
            <a:schemeClr val="accent1"/>
          </a:solid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0E16C-5968-4D63-9C72-25282D1A391D}">
  <dimension ref="A1:Q72"/>
  <sheetViews>
    <sheetView workbookViewId="0">
      <selection activeCell="T7" sqref="T7"/>
    </sheetView>
  </sheetViews>
  <sheetFormatPr baseColWidth="10" defaultRowHeight="15" x14ac:dyDescent="0.25"/>
  <cols>
    <col min="1" max="1" width="1.7109375" style="250"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20" customWidth="1"/>
  </cols>
  <sheetData>
    <row r="1" spans="1:17" ht="20.25" x14ac:dyDescent="0.3">
      <c r="D1" s="251" t="s">
        <v>97</v>
      </c>
      <c r="E1" s="251"/>
      <c r="F1" s="251"/>
      <c r="G1" s="251"/>
      <c r="H1" s="251"/>
      <c r="I1" s="251"/>
      <c r="J1" s="251"/>
      <c r="K1" s="251"/>
      <c r="L1" s="251"/>
      <c r="M1" s="251"/>
      <c r="N1" s="251"/>
      <c r="O1" s="251"/>
      <c r="P1" s="251"/>
    </row>
    <row r="2" spans="1:17" ht="20.25" x14ac:dyDescent="0.3">
      <c r="D2" s="251" t="s">
        <v>98</v>
      </c>
      <c r="E2" s="251"/>
      <c r="F2" s="251"/>
      <c r="G2" s="251"/>
      <c r="H2" s="251"/>
      <c r="I2" s="251"/>
      <c r="J2" s="251"/>
      <c r="K2" s="251"/>
      <c r="L2" s="251"/>
      <c r="M2" s="251"/>
      <c r="N2" s="251"/>
      <c r="O2" s="251"/>
      <c r="P2" s="251"/>
      <c r="Q2" s="252" t="s">
        <v>99</v>
      </c>
    </row>
    <row r="3" spans="1:17" ht="9" customHeight="1" x14ac:dyDescent="0.25">
      <c r="D3" s="253"/>
      <c r="E3" s="253"/>
      <c r="F3" s="253"/>
      <c r="G3" s="253"/>
      <c r="H3" s="253"/>
      <c r="I3" s="253"/>
      <c r="J3" s="253"/>
      <c r="K3" s="253"/>
      <c r="L3" s="253"/>
      <c r="M3" s="253"/>
      <c r="N3" s="253"/>
      <c r="O3" s="253"/>
      <c r="P3" s="254" t="s">
        <v>100</v>
      </c>
      <c r="Q3" s="255"/>
    </row>
    <row r="4" spans="1:17" s="145" customFormat="1" ht="15.75" customHeight="1" x14ac:dyDescent="0.25">
      <c r="A4" s="256"/>
      <c r="B4" s="257" t="s">
        <v>101</v>
      </c>
      <c r="C4" s="257"/>
      <c r="D4" s="145" t="s">
        <v>102</v>
      </c>
      <c r="P4" s="254"/>
      <c r="Q4" s="258"/>
    </row>
    <row r="5" spans="1:17" s="145" customFormat="1" ht="15.75" customHeight="1" thickBot="1" x14ac:dyDescent="0.3">
      <c r="A5" s="256"/>
      <c r="B5" s="257" t="s">
        <v>103</v>
      </c>
      <c r="C5" s="257"/>
      <c r="D5" s="145" t="s">
        <v>104</v>
      </c>
      <c r="H5" s="259" t="s">
        <v>24</v>
      </c>
      <c r="I5" s="259"/>
      <c r="J5" s="259"/>
      <c r="K5" s="259"/>
      <c r="L5" s="260"/>
      <c r="M5" s="260" t="s">
        <v>105</v>
      </c>
      <c r="N5" s="259"/>
      <c r="O5" s="259"/>
      <c r="P5" s="259"/>
    </row>
    <row r="6" spans="1:17" s="145" customFormat="1" ht="15.75" x14ac:dyDescent="0.25">
      <c r="A6" s="256"/>
      <c r="B6" s="257" t="s">
        <v>106</v>
      </c>
      <c r="C6" s="257"/>
      <c r="D6" s="261" t="s">
        <v>107</v>
      </c>
      <c r="H6" s="262" t="s">
        <v>108</v>
      </c>
      <c r="I6" s="262"/>
      <c r="J6" s="262"/>
      <c r="K6" s="262"/>
      <c r="L6" s="263"/>
      <c r="M6" s="263"/>
      <c r="N6" s="264" t="s">
        <v>109</v>
      </c>
      <c r="O6" s="265"/>
      <c r="P6" s="265"/>
      <c r="Q6" s="266" t="s">
        <v>110</v>
      </c>
    </row>
    <row r="7" spans="1:17" s="145" customFormat="1" ht="15.75" x14ac:dyDescent="0.25">
      <c r="A7" s="256"/>
      <c r="B7" s="257" t="s">
        <v>111</v>
      </c>
      <c r="C7" s="257"/>
      <c r="D7" s="145" t="s">
        <v>112</v>
      </c>
      <c r="E7" s="261" t="s">
        <v>23</v>
      </c>
      <c r="H7" s="267">
        <v>45162</v>
      </c>
      <c r="I7" s="268"/>
      <c r="J7" s="268"/>
      <c r="K7" s="268"/>
      <c r="L7" s="267">
        <v>45162</v>
      </c>
      <c r="M7" s="267"/>
      <c r="N7" s="269"/>
      <c r="O7" s="268"/>
      <c r="P7" s="268"/>
      <c r="Q7" s="270" t="s">
        <v>113</v>
      </c>
    </row>
    <row r="8" spans="1:17" s="145" customFormat="1" ht="16.5" thickBot="1" x14ac:dyDescent="0.3">
      <c r="A8" s="256"/>
      <c r="B8" s="257" t="s">
        <v>31</v>
      </c>
      <c r="C8" s="257"/>
      <c r="D8" s="145" t="s">
        <v>114</v>
      </c>
      <c r="E8" s="261" t="s">
        <v>23</v>
      </c>
      <c r="H8" s="267">
        <f>+H7+20</f>
        <v>45182</v>
      </c>
      <c r="I8" s="268"/>
      <c r="J8" s="268"/>
      <c r="K8" s="268"/>
      <c r="L8" s="267">
        <f>+L7+1</f>
        <v>45163</v>
      </c>
      <c r="M8" s="267"/>
      <c r="N8" s="271"/>
      <c r="O8" s="272"/>
      <c r="P8" s="272"/>
      <c r="Q8" s="273"/>
    </row>
    <row r="9" spans="1:17" s="145" customFormat="1" ht="17.25" x14ac:dyDescent="0.25">
      <c r="A9" s="256">
        <v>1</v>
      </c>
      <c r="B9" s="274" t="s">
        <v>115</v>
      </c>
      <c r="C9" s="274"/>
      <c r="D9" s="275" t="s">
        <v>116</v>
      </c>
      <c r="E9" s="275"/>
      <c r="F9" s="275"/>
      <c r="G9" s="275"/>
      <c r="H9" s="275"/>
      <c r="I9" s="275"/>
      <c r="J9" s="275"/>
      <c r="K9" s="275"/>
      <c r="L9" s="275"/>
      <c r="M9" s="275"/>
      <c r="N9" s="275"/>
      <c r="O9" s="275"/>
      <c r="P9" s="275"/>
      <c r="Q9" s="275"/>
    </row>
    <row r="10" spans="1:17" s="145" customFormat="1" ht="33" x14ac:dyDescent="0.25">
      <c r="A10" s="256">
        <v>11</v>
      </c>
      <c r="B10" s="274"/>
      <c r="C10" s="274"/>
      <c r="D10" s="275" t="s">
        <v>117</v>
      </c>
      <c r="E10" s="275"/>
      <c r="F10" s="275"/>
      <c r="G10" s="275"/>
      <c r="H10" s="275"/>
      <c r="I10" s="275"/>
      <c r="J10" s="275"/>
      <c r="K10" s="275"/>
      <c r="L10" s="275"/>
      <c r="M10" s="275"/>
      <c r="N10" s="275"/>
      <c r="O10" s="275"/>
      <c r="P10" s="275"/>
      <c r="Q10" s="275"/>
    </row>
    <row r="11" spans="1:17" s="145" customFormat="1" ht="15.75" x14ac:dyDescent="0.25">
      <c r="A11" s="276"/>
      <c r="B11" s="277"/>
      <c r="C11" s="277"/>
      <c r="D11" s="278" t="s">
        <v>118</v>
      </c>
      <c r="E11" s="279"/>
      <c r="F11" s="279"/>
      <c r="G11" s="279"/>
      <c r="H11" s="279"/>
      <c r="I11" s="279"/>
      <c r="J11" s="279"/>
      <c r="K11" s="279"/>
      <c r="L11" s="279"/>
      <c r="M11" s="279"/>
      <c r="N11" s="279"/>
      <c r="O11" s="279"/>
      <c r="P11" s="279"/>
    </row>
    <row r="12" spans="1:17" s="281" customFormat="1" ht="15" customHeight="1" x14ac:dyDescent="0.2">
      <c r="A12" s="276"/>
      <c r="B12" s="280" t="s">
        <v>52</v>
      </c>
      <c r="C12" s="280"/>
      <c r="D12" s="280"/>
      <c r="I12" s="282" t="s">
        <v>119</v>
      </c>
      <c r="N12" s="282" t="s">
        <v>120</v>
      </c>
    </row>
    <row r="13" spans="1:17" s="281" customFormat="1" ht="14.25" x14ac:dyDescent="0.2">
      <c r="A13" s="276"/>
      <c r="B13" s="283" t="s">
        <v>121</v>
      </c>
      <c r="C13" s="281" t="s">
        <v>122</v>
      </c>
      <c r="D13" s="281" t="s">
        <v>123</v>
      </c>
      <c r="E13" s="284" t="s">
        <v>124</v>
      </c>
      <c r="H13" s="285"/>
      <c r="I13" s="286" t="s">
        <v>125</v>
      </c>
      <c r="K13" s="285"/>
      <c r="L13" s="285"/>
      <c r="N13" s="287" t="s">
        <v>126</v>
      </c>
      <c r="O13" s="286"/>
    </row>
    <row r="14" spans="1:17" s="281" customFormat="1" ht="12.75" x14ac:dyDescent="0.2">
      <c r="A14" s="276"/>
      <c r="B14" s="283" t="s">
        <v>127</v>
      </c>
      <c r="C14" s="281" t="s">
        <v>128</v>
      </c>
      <c r="D14" s="281" t="s">
        <v>129</v>
      </c>
      <c r="H14" s="285"/>
      <c r="I14" s="286" t="s">
        <v>105</v>
      </c>
      <c r="J14" s="288"/>
      <c r="K14" s="285"/>
      <c r="L14" s="285"/>
      <c r="M14" s="289" t="s">
        <v>130</v>
      </c>
      <c r="N14" s="286" t="s">
        <v>131</v>
      </c>
      <c r="O14" s="286"/>
    </row>
    <row r="15" spans="1:17" s="281" customFormat="1" ht="12.75" x14ac:dyDescent="0.2">
      <c r="A15" s="276"/>
      <c r="B15" s="283" t="s">
        <v>130</v>
      </c>
      <c r="C15" s="281" t="s">
        <v>132</v>
      </c>
      <c r="D15" s="281" t="s">
        <v>133</v>
      </c>
      <c r="H15" s="285"/>
      <c r="I15" s="286" t="s">
        <v>134</v>
      </c>
      <c r="J15" s="288"/>
      <c r="K15" s="285"/>
      <c r="L15" s="285"/>
      <c r="M15" s="289" t="s">
        <v>135</v>
      </c>
      <c r="N15" s="286" t="s">
        <v>136</v>
      </c>
      <c r="O15" s="286"/>
    </row>
    <row r="16" spans="1:17" s="281" customFormat="1" ht="12.75" x14ac:dyDescent="0.2">
      <c r="A16" s="276"/>
      <c r="C16" s="283"/>
      <c r="D16" s="281" t="s">
        <v>137</v>
      </c>
      <c r="H16" s="285"/>
      <c r="I16" s="286"/>
      <c r="J16" s="288"/>
      <c r="K16" s="285"/>
      <c r="L16" s="285"/>
      <c r="M16" s="289" t="s">
        <v>138</v>
      </c>
      <c r="N16" s="287" t="s">
        <v>139</v>
      </c>
      <c r="O16" s="286"/>
    </row>
    <row r="17" spans="1:17" s="281" customFormat="1" ht="6.75" customHeight="1" thickBot="1" x14ac:dyDescent="0.25">
      <c r="A17" s="290"/>
      <c r="C17" s="283"/>
    </row>
    <row r="18" spans="1:17" ht="15.75" customHeight="1" x14ac:dyDescent="0.25">
      <c r="C18" s="291" t="s">
        <v>140</v>
      </c>
      <c r="D18" s="292"/>
      <c r="E18" s="293" t="s">
        <v>141</v>
      </c>
      <c r="F18" s="294"/>
      <c r="G18" s="294"/>
      <c r="H18" s="294"/>
      <c r="I18" s="294"/>
      <c r="J18" s="294"/>
      <c r="K18" s="294"/>
      <c r="L18" s="295" t="s">
        <v>142</v>
      </c>
      <c r="M18" s="296"/>
      <c r="N18" s="293" t="s">
        <v>143</v>
      </c>
      <c r="O18" s="294"/>
      <c r="P18" s="294"/>
      <c r="Q18" s="297" t="s">
        <v>119</v>
      </c>
    </row>
    <row r="19" spans="1:17" ht="16.5" thickBot="1" x14ac:dyDescent="0.3">
      <c r="C19" s="298"/>
      <c r="D19" s="299"/>
      <c r="E19" s="300" t="s">
        <v>121</v>
      </c>
      <c r="F19" s="301" t="s">
        <v>127</v>
      </c>
      <c r="G19" s="301" t="s">
        <v>130</v>
      </c>
      <c r="H19" s="301" t="s">
        <v>144</v>
      </c>
      <c r="I19" s="301" t="s">
        <v>145</v>
      </c>
      <c r="J19" s="301" t="s">
        <v>146</v>
      </c>
      <c r="K19" s="301" t="s">
        <v>138</v>
      </c>
      <c r="L19" s="302"/>
      <c r="M19" s="303"/>
      <c r="N19" s="300" t="s">
        <v>130</v>
      </c>
      <c r="O19" s="301" t="s">
        <v>135</v>
      </c>
      <c r="P19" s="301" t="s">
        <v>138</v>
      </c>
      <c r="Q19" s="304"/>
    </row>
    <row r="20" spans="1:17" s="145" customFormat="1" ht="15.75" x14ac:dyDescent="0.25">
      <c r="A20" s="256"/>
      <c r="C20" s="305" t="s">
        <v>147</v>
      </c>
      <c r="D20" s="306"/>
      <c r="E20" s="307"/>
      <c r="F20" s="308"/>
      <c r="G20" s="308"/>
      <c r="H20" s="308"/>
      <c r="I20" s="308"/>
      <c r="J20" s="308"/>
      <c r="K20" s="308"/>
      <c r="L20" s="309"/>
      <c r="M20" s="310"/>
      <c r="N20" s="307"/>
      <c r="O20" s="308"/>
      <c r="P20" s="308"/>
      <c r="Q20" s="311"/>
    </row>
    <row r="21" spans="1:17" s="145" customFormat="1" ht="15.75" x14ac:dyDescent="0.25">
      <c r="A21" s="256"/>
      <c r="B21" s="145" t="s">
        <v>148</v>
      </c>
      <c r="C21" s="312" t="s">
        <v>149</v>
      </c>
      <c r="D21" s="313"/>
      <c r="E21" s="314" t="s">
        <v>124</v>
      </c>
      <c r="F21" s="315"/>
      <c r="G21" s="315"/>
      <c r="H21" s="315"/>
      <c r="I21" s="315"/>
      <c r="J21" s="315"/>
      <c r="K21" s="315"/>
      <c r="L21" s="316" t="s">
        <v>150</v>
      </c>
      <c r="M21" s="317">
        <v>1</v>
      </c>
      <c r="N21" s="318"/>
      <c r="O21" s="308" t="s">
        <v>124</v>
      </c>
      <c r="P21" s="315"/>
      <c r="Q21" s="319"/>
    </row>
    <row r="22" spans="1:17" s="145" customFormat="1" ht="15.75" x14ac:dyDescent="0.25">
      <c r="A22" s="256"/>
      <c r="B22" s="145" t="s">
        <v>151</v>
      </c>
      <c r="C22" s="312" t="s">
        <v>152</v>
      </c>
      <c r="D22" s="313"/>
      <c r="E22" s="314" t="s">
        <v>124</v>
      </c>
      <c r="F22" s="315"/>
      <c r="G22" s="315"/>
      <c r="H22" s="315"/>
      <c r="I22" s="315"/>
      <c r="J22" s="315"/>
      <c r="K22" s="315"/>
      <c r="L22" s="316" t="s">
        <v>150</v>
      </c>
      <c r="M22" s="320"/>
      <c r="N22" s="318"/>
      <c r="O22" s="315"/>
      <c r="P22" s="308" t="s">
        <v>124</v>
      </c>
      <c r="Q22" s="321"/>
    </row>
    <row r="23" spans="1:17" s="145" customFormat="1" ht="15.75" x14ac:dyDescent="0.25">
      <c r="A23" s="256"/>
      <c r="B23" s="145" t="s">
        <v>153</v>
      </c>
      <c r="C23" s="322" t="s">
        <v>154</v>
      </c>
      <c r="D23" s="323"/>
      <c r="E23" s="318" t="s">
        <v>124</v>
      </c>
      <c r="F23" s="315"/>
      <c r="G23" s="315"/>
      <c r="H23" s="315"/>
      <c r="I23" s="315"/>
      <c r="J23" s="315"/>
      <c r="K23" s="315"/>
      <c r="L23" s="324"/>
      <c r="M23" s="320"/>
      <c r="N23" s="318"/>
      <c r="O23" s="315"/>
      <c r="P23" s="315"/>
      <c r="Q23" s="319" t="s">
        <v>134</v>
      </c>
    </row>
    <row r="24" spans="1:17" s="145" customFormat="1" ht="33" x14ac:dyDescent="0.25">
      <c r="A24" s="256">
        <v>11</v>
      </c>
      <c r="C24" s="312" t="s">
        <v>155</v>
      </c>
      <c r="D24" s="313"/>
      <c r="E24" s="314" t="s">
        <v>124</v>
      </c>
      <c r="F24" s="315"/>
      <c r="G24" s="315"/>
      <c r="H24" s="315"/>
      <c r="I24" s="315"/>
      <c r="J24" s="315"/>
      <c r="K24" s="315"/>
      <c r="L24" s="316" t="s">
        <v>150</v>
      </c>
      <c r="M24" s="320"/>
      <c r="N24" s="318"/>
      <c r="O24" s="315"/>
      <c r="P24" s="308" t="s">
        <v>124</v>
      </c>
      <c r="Q24" s="319"/>
    </row>
    <row r="25" spans="1:17" s="145" customFormat="1" ht="33" x14ac:dyDescent="0.25">
      <c r="A25" s="256">
        <v>11</v>
      </c>
      <c r="C25" s="312" t="s">
        <v>156</v>
      </c>
      <c r="D25" s="313"/>
      <c r="E25" s="314" t="s">
        <v>124</v>
      </c>
      <c r="F25" s="315"/>
      <c r="G25" s="315"/>
      <c r="H25" s="315"/>
      <c r="I25" s="315"/>
      <c r="J25" s="315"/>
      <c r="K25" s="315"/>
      <c r="L25" s="316" t="s">
        <v>150</v>
      </c>
      <c r="M25" s="320"/>
      <c r="N25" s="318"/>
      <c r="O25" s="315"/>
      <c r="P25" s="315"/>
      <c r="Q25" s="319"/>
    </row>
    <row r="26" spans="1:17" s="145" customFormat="1" ht="15.75" x14ac:dyDescent="0.25">
      <c r="A26" s="256"/>
      <c r="C26" s="312" t="s">
        <v>157</v>
      </c>
      <c r="D26" s="313"/>
      <c r="E26" s="314" t="s">
        <v>124</v>
      </c>
      <c r="F26" s="315"/>
      <c r="G26" s="315"/>
      <c r="H26" s="315"/>
      <c r="I26" s="315"/>
      <c r="J26" s="315"/>
      <c r="K26" s="315"/>
      <c r="L26" s="316" t="s">
        <v>150</v>
      </c>
      <c r="M26" s="320"/>
      <c r="N26" s="318"/>
      <c r="O26" s="315"/>
      <c r="P26" s="315"/>
      <c r="Q26" s="319"/>
    </row>
    <row r="27" spans="1:17" s="145" customFormat="1" ht="15.75" x14ac:dyDescent="0.25">
      <c r="A27" s="256"/>
      <c r="B27" s="145" t="s">
        <v>153</v>
      </c>
      <c r="C27" s="322" t="s">
        <v>158</v>
      </c>
      <c r="D27" s="323"/>
      <c r="E27" s="318"/>
      <c r="F27" s="315"/>
      <c r="G27" s="315"/>
      <c r="H27" s="315"/>
      <c r="I27" s="315"/>
      <c r="J27" s="315"/>
      <c r="K27" s="315"/>
      <c r="L27" s="324"/>
      <c r="M27" s="320"/>
      <c r="N27" s="318"/>
      <c r="O27" s="315"/>
      <c r="P27" s="315"/>
      <c r="Q27" s="319"/>
    </row>
    <row r="28" spans="1:17" s="145" customFormat="1" ht="15.75" x14ac:dyDescent="0.25">
      <c r="A28" s="256"/>
      <c r="C28" s="312" t="s">
        <v>159</v>
      </c>
      <c r="D28" s="313"/>
      <c r="E28" s="314" t="s">
        <v>124</v>
      </c>
      <c r="F28" s="315"/>
      <c r="G28" s="315"/>
      <c r="H28" s="315"/>
      <c r="I28" s="315"/>
      <c r="J28" s="315"/>
      <c r="K28" s="315"/>
      <c r="L28" s="316" t="s">
        <v>150</v>
      </c>
      <c r="M28" s="320"/>
      <c r="N28" s="318"/>
      <c r="O28" s="315"/>
      <c r="P28" s="315"/>
      <c r="Q28" s="319"/>
    </row>
    <row r="29" spans="1:17" s="145" customFormat="1" ht="15.75" x14ac:dyDescent="0.25">
      <c r="A29" s="256"/>
      <c r="C29" s="312" t="s">
        <v>160</v>
      </c>
      <c r="D29" s="313"/>
      <c r="E29" s="314" t="s">
        <v>124</v>
      </c>
      <c r="F29" s="315"/>
      <c r="G29" s="315"/>
      <c r="H29" s="315"/>
      <c r="I29" s="315"/>
      <c r="J29" s="315"/>
      <c r="K29" s="315"/>
      <c r="L29" s="316" t="s">
        <v>150</v>
      </c>
      <c r="M29" s="320"/>
      <c r="N29" s="318"/>
      <c r="O29" s="315"/>
      <c r="P29" s="315"/>
      <c r="Q29" s="319"/>
    </row>
    <row r="30" spans="1:17" s="145" customFormat="1" ht="33" x14ac:dyDescent="0.25">
      <c r="A30" s="256">
        <v>11</v>
      </c>
      <c r="C30" s="312" t="s">
        <v>161</v>
      </c>
      <c r="D30" s="313"/>
      <c r="E30" s="314" t="s">
        <v>124</v>
      </c>
      <c r="F30" s="315"/>
      <c r="G30" s="315"/>
      <c r="H30" s="315"/>
      <c r="I30" s="315"/>
      <c r="J30" s="315"/>
      <c r="K30" s="315"/>
      <c r="L30" s="316" t="s">
        <v>150</v>
      </c>
      <c r="M30" s="320"/>
      <c r="N30" s="318"/>
      <c r="O30" s="315"/>
      <c r="P30" s="315"/>
      <c r="Q30" s="319"/>
    </row>
    <row r="31" spans="1:17" s="145" customFormat="1" ht="48.75" x14ac:dyDescent="0.25">
      <c r="A31" s="256">
        <v>111</v>
      </c>
      <c r="C31" s="312" t="s">
        <v>162</v>
      </c>
      <c r="D31" s="313"/>
      <c r="E31" s="314" t="s">
        <v>124</v>
      </c>
      <c r="F31" s="315"/>
      <c r="G31" s="315"/>
      <c r="H31" s="315"/>
      <c r="I31" s="315"/>
      <c r="J31" s="315"/>
      <c r="K31" s="315"/>
      <c r="L31" s="316" t="s">
        <v>150</v>
      </c>
      <c r="M31" s="320"/>
      <c r="N31" s="318"/>
      <c r="O31" s="315"/>
      <c r="P31" s="315"/>
      <c r="Q31" s="319"/>
    </row>
    <row r="32" spans="1:17" s="145" customFormat="1" ht="33" x14ac:dyDescent="0.25">
      <c r="A32" s="256">
        <v>11</v>
      </c>
      <c r="C32" s="312" t="s">
        <v>163</v>
      </c>
      <c r="D32" s="313"/>
      <c r="E32" s="314" t="s">
        <v>124</v>
      </c>
      <c r="F32" s="315"/>
      <c r="G32" s="315"/>
      <c r="H32" s="315"/>
      <c r="I32" s="315"/>
      <c r="J32" s="315"/>
      <c r="K32" s="315"/>
      <c r="L32" s="316" t="s">
        <v>150</v>
      </c>
      <c r="M32" s="320"/>
      <c r="N32" s="318"/>
      <c r="O32" s="315"/>
      <c r="P32" s="315"/>
      <c r="Q32" s="319"/>
    </row>
    <row r="33" spans="1:17" s="145" customFormat="1" ht="15.75" x14ac:dyDescent="0.25">
      <c r="A33" s="256"/>
      <c r="C33" s="312" t="s">
        <v>164</v>
      </c>
      <c r="D33" s="313"/>
      <c r="E33" s="314" t="s">
        <v>124</v>
      </c>
      <c r="F33" s="315"/>
      <c r="G33" s="315"/>
      <c r="H33" s="315"/>
      <c r="I33" s="315"/>
      <c r="J33" s="315"/>
      <c r="K33" s="315"/>
      <c r="L33" s="316" t="s">
        <v>150</v>
      </c>
      <c r="M33" s="320"/>
      <c r="N33" s="318"/>
      <c r="O33" s="315"/>
      <c r="P33" s="315"/>
      <c r="Q33" s="319"/>
    </row>
    <row r="34" spans="1:17" s="145" customFormat="1" ht="15.75" x14ac:dyDescent="0.25">
      <c r="A34" s="256"/>
      <c r="C34" s="312" t="s">
        <v>165</v>
      </c>
      <c r="D34" s="313"/>
      <c r="E34" s="314" t="s">
        <v>124</v>
      </c>
      <c r="F34" s="315"/>
      <c r="G34" s="315"/>
      <c r="H34" s="315"/>
      <c r="I34" s="315"/>
      <c r="J34" s="315"/>
      <c r="K34" s="315"/>
      <c r="L34" s="316" t="s">
        <v>150</v>
      </c>
      <c r="M34" s="320"/>
      <c r="N34" s="318"/>
      <c r="O34" s="315"/>
      <c r="P34" s="315"/>
      <c r="Q34" s="319"/>
    </row>
    <row r="35" spans="1:17" s="145" customFormat="1" ht="15.75" x14ac:dyDescent="0.25">
      <c r="A35" s="256"/>
      <c r="B35" s="145" t="s">
        <v>166</v>
      </c>
      <c r="C35" s="312" t="s">
        <v>167</v>
      </c>
      <c r="D35" s="313"/>
      <c r="E35" s="314" t="s">
        <v>124</v>
      </c>
      <c r="F35" s="315"/>
      <c r="G35" s="315"/>
      <c r="H35" s="315"/>
      <c r="I35" s="315"/>
      <c r="J35" s="315"/>
      <c r="K35" s="315"/>
      <c r="L35" s="316" t="s">
        <v>150</v>
      </c>
      <c r="M35" s="320"/>
      <c r="N35" s="318"/>
      <c r="O35" s="315"/>
      <c r="P35" s="315"/>
      <c r="Q35" s="319"/>
    </row>
    <row r="36" spans="1:17" s="145" customFormat="1" ht="48.75" x14ac:dyDescent="0.25">
      <c r="A36" s="256">
        <v>111</v>
      </c>
      <c r="C36" s="325" t="s">
        <v>168</v>
      </c>
      <c r="D36" s="326"/>
      <c r="E36" s="314" t="s">
        <v>124</v>
      </c>
      <c r="F36" s="315"/>
      <c r="G36" s="315"/>
      <c r="H36" s="315"/>
      <c r="I36" s="315"/>
      <c r="J36" s="315"/>
      <c r="K36" s="315"/>
      <c r="L36" s="316" t="s">
        <v>150</v>
      </c>
      <c r="M36" s="320"/>
      <c r="N36" s="318"/>
      <c r="O36" s="315"/>
      <c r="P36" s="315"/>
      <c r="Q36" s="319"/>
    </row>
    <row r="37" spans="1:17" s="145" customFormat="1" ht="15.75" x14ac:dyDescent="0.25">
      <c r="A37" s="256"/>
      <c r="B37" s="145" t="s">
        <v>153</v>
      </c>
      <c r="C37" s="322" t="s">
        <v>169</v>
      </c>
      <c r="D37" s="323"/>
      <c r="E37" s="314" t="s">
        <v>124</v>
      </c>
      <c r="F37" s="315"/>
      <c r="G37" s="315"/>
      <c r="H37" s="315"/>
      <c r="I37" s="315"/>
      <c r="J37" s="315"/>
      <c r="K37" s="315"/>
      <c r="L37" s="324"/>
      <c r="M37" s="320"/>
      <c r="N37" s="318"/>
      <c r="O37" s="315"/>
      <c r="P37" s="315"/>
      <c r="Q37" s="319"/>
    </row>
    <row r="38" spans="1:17" s="145" customFormat="1" ht="15.75" x14ac:dyDescent="0.25">
      <c r="A38" s="256"/>
      <c r="C38" s="312" t="s">
        <v>170</v>
      </c>
      <c r="D38" s="313"/>
      <c r="E38" s="314" t="s">
        <v>124</v>
      </c>
      <c r="F38" s="315"/>
      <c r="G38" s="315"/>
      <c r="H38" s="315"/>
      <c r="I38" s="315"/>
      <c r="J38" s="315"/>
      <c r="K38" s="315"/>
      <c r="L38" s="316" t="s">
        <v>150</v>
      </c>
      <c r="M38" s="320"/>
      <c r="N38" s="318"/>
      <c r="O38" s="315"/>
      <c r="P38" s="315"/>
      <c r="Q38" s="319"/>
    </row>
    <row r="39" spans="1:17" s="145" customFormat="1" ht="33" x14ac:dyDescent="0.25">
      <c r="A39" s="256">
        <v>11</v>
      </c>
      <c r="C39" s="312" t="s">
        <v>171</v>
      </c>
      <c r="D39" s="313"/>
      <c r="E39" s="314" t="s">
        <v>124</v>
      </c>
      <c r="F39" s="315"/>
      <c r="G39" s="315"/>
      <c r="H39" s="315"/>
      <c r="I39" s="315"/>
      <c r="J39" s="315"/>
      <c r="K39" s="315"/>
      <c r="L39" s="316" t="s">
        <v>150</v>
      </c>
      <c r="M39" s="320"/>
      <c r="N39" s="318"/>
      <c r="O39" s="315"/>
      <c r="P39" s="315"/>
      <c r="Q39" s="319"/>
    </row>
    <row r="40" spans="1:17" s="145" customFormat="1" ht="17.25" x14ac:dyDescent="0.25">
      <c r="A40" s="256">
        <v>1</v>
      </c>
      <c r="C40" s="312" t="s">
        <v>172</v>
      </c>
      <c r="D40" s="313"/>
      <c r="E40" s="314" t="s">
        <v>124</v>
      </c>
      <c r="F40" s="315"/>
      <c r="G40" s="315"/>
      <c r="H40" s="315"/>
      <c r="I40" s="315"/>
      <c r="J40" s="315"/>
      <c r="K40" s="315"/>
      <c r="L40" s="316" t="s">
        <v>150</v>
      </c>
      <c r="M40" s="320"/>
      <c r="N40" s="318"/>
      <c r="O40" s="315"/>
      <c r="P40" s="315"/>
      <c r="Q40" s="319"/>
    </row>
    <row r="41" spans="1:17" s="145" customFormat="1" ht="48.75" x14ac:dyDescent="0.25">
      <c r="A41" s="256">
        <v>111</v>
      </c>
      <c r="C41" s="312" t="s">
        <v>173</v>
      </c>
      <c r="D41" s="313"/>
      <c r="E41" s="314" t="s">
        <v>124</v>
      </c>
      <c r="F41" s="315"/>
      <c r="G41" s="315"/>
      <c r="H41" s="315"/>
      <c r="I41" s="315"/>
      <c r="J41" s="315"/>
      <c r="K41" s="315"/>
      <c r="L41" s="316" t="s">
        <v>150</v>
      </c>
      <c r="M41" s="320"/>
      <c r="N41" s="318"/>
      <c r="O41" s="315"/>
      <c r="P41" s="315"/>
      <c r="Q41" s="319"/>
    </row>
    <row r="42" spans="1:17" s="145" customFormat="1" ht="15.75" x14ac:dyDescent="0.25">
      <c r="A42" s="256"/>
      <c r="C42" s="312" t="s">
        <v>174</v>
      </c>
      <c r="D42" s="313"/>
      <c r="E42" s="314" t="s">
        <v>124</v>
      </c>
      <c r="F42" s="315"/>
      <c r="G42" s="315"/>
      <c r="H42" s="315"/>
      <c r="I42" s="315"/>
      <c r="J42" s="315"/>
      <c r="K42" s="315"/>
      <c r="L42" s="316" t="s">
        <v>150</v>
      </c>
      <c r="M42" s="320"/>
      <c r="N42" s="318"/>
      <c r="O42" s="315"/>
      <c r="P42" s="315"/>
      <c r="Q42" s="319"/>
    </row>
    <row r="43" spans="1:17" s="145" customFormat="1" ht="33" x14ac:dyDescent="0.25">
      <c r="A43" s="256">
        <v>11</v>
      </c>
      <c r="C43" s="312" t="s">
        <v>175</v>
      </c>
      <c r="D43" s="313"/>
      <c r="E43" s="314" t="s">
        <v>124</v>
      </c>
      <c r="F43" s="315"/>
      <c r="G43" s="315"/>
      <c r="H43" s="315"/>
      <c r="I43" s="315"/>
      <c r="J43" s="315"/>
      <c r="K43" s="315"/>
      <c r="L43" s="316" t="s">
        <v>150</v>
      </c>
      <c r="M43" s="320"/>
      <c r="N43" s="318"/>
      <c r="O43" s="315"/>
      <c r="P43" s="315"/>
      <c r="Q43" s="319"/>
    </row>
    <row r="44" spans="1:17" s="145" customFormat="1" ht="17.25" x14ac:dyDescent="0.25">
      <c r="A44" s="256">
        <v>1</v>
      </c>
      <c r="C44" s="312" t="s">
        <v>176</v>
      </c>
      <c r="D44" s="313"/>
      <c r="E44" s="314" t="s">
        <v>124</v>
      </c>
      <c r="F44" s="315"/>
      <c r="G44" s="315"/>
      <c r="H44" s="315"/>
      <c r="I44" s="315"/>
      <c r="J44" s="315"/>
      <c r="K44" s="315"/>
      <c r="L44" s="316" t="s">
        <v>150</v>
      </c>
      <c r="M44" s="320"/>
      <c r="N44" s="318"/>
      <c r="O44" s="315"/>
      <c r="P44" s="315"/>
      <c r="Q44" s="319"/>
    </row>
    <row r="45" spans="1:17" s="145" customFormat="1" ht="80.25" x14ac:dyDescent="0.25">
      <c r="A45" s="256">
        <v>11111</v>
      </c>
      <c r="C45" s="312" t="s">
        <v>80</v>
      </c>
      <c r="D45" s="313"/>
      <c r="E45" s="314" t="s">
        <v>124</v>
      </c>
      <c r="F45" s="315"/>
      <c r="G45" s="315"/>
      <c r="H45" s="315"/>
      <c r="I45" s="315"/>
      <c r="J45" s="315"/>
      <c r="K45" s="315"/>
      <c r="L45" s="316" t="s">
        <v>150</v>
      </c>
      <c r="M45" s="320"/>
      <c r="N45" s="318"/>
      <c r="O45" s="315"/>
      <c r="P45" s="315"/>
      <c r="Q45" s="319"/>
    </row>
    <row r="46" spans="1:17" s="145" customFormat="1" ht="33" x14ac:dyDescent="0.25">
      <c r="A46" s="256">
        <v>11</v>
      </c>
      <c r="C46" s="312" t="s">
        <v>177</v>
      </c>
      <c r="D46" s="313"/>
      <c r="E46" s="314" t="s">
        <v>124</v>
      </c>
      <c r="F46" s="315"/>
      <c r="G46" s="315"/>
      <c r="H46" s="315"/>
      <c r="I46" s="315"/>
      <c r="J46" s="315"/>
      <c r="K46" s="315"/>
      <c r="L46" s="316" t="s">
        <v>150</v>
      </c>
      <c r="M46" s="320"/>
      <c r="N46" s="318"/>
      <c r="O46" s="315"/>
      <c r="P46" s="315"/>
      <c r="Q46" s="319"/>
    </row>
    <row r="47" spans="1:17" s="145" customFormat="1" ht="33" x14ac:dyDescent="0.25">
      <c r="A47" s="256">
        <v>11</v>
      </c>
      <c r="C47" s="312" t="s">
        <v>178</v>
      </c>
      <c r="D47" s="313"/>
      <c r="E47" s="314" t="s">
        <v>124</v>
      </c>
      <c r="F47" s="315"/>
      <c r="G47" s="315"/>
      <c r="H47" s="315"/>
      <c r="I47" s="315"/>
      <c r="J47" s="315"/>
      <c r="K47" s="315"/>
      <c r="L47" s="316" t="s">
        <v>150</v>
      </c>
      <c r="M47" s="320"/>
      <c r="N47" s="318"/>
      <c r="O47" s="315"/>
      <c r="P47" s="315"/>
      <c r="Q47" s="319"/>
    </row>
    <row r="48" spans="1:17" s="145" customFormat="1" ht="33" x14ac:dyDescent="0.25">
      <c r="A48" s="256">
        <v>11</v>
      </c>
      <c r="C48" s="312" t="s">
        <v>179</v>
      </c>
      <c r="D48" s="313"/>
      <c r="E48" s="314" t="s">
        <v>124</v>
      </c>
      <c r="F48" s="315"/>
      <c r="G48" s="315"/>
      <c r="H48" s="315"/>
      <c r="I48" s="315"/>
      <c r="J48" s="315"/>
      <c r="K48" s="315"/>
      <c r="L48" s="316" t="s">
        <v>150</v>
      </c>
      <c r="M48" s="320"/>
      <c r="N48" s="318"/>
      <c r="O48" s="315"/>
      <c r="P48" s="315"/>
      <c r="Q48" s="319"/>
    </row>
    <row r="49" spans="1:17" s="145" customFormat="1" ht="33" x14ac:dyDescent="0.25">
      <c r="A49" s="256">
        <v>11</v>
      </c>
      <c r="C49" s="312" t="s">
        <v>180</v>
      </c>
      <c r="D49" s="313"/>
      <c r="E49" s="314" t="s">
        <v>124</v>
      </c>
      <c r="F49" s="315"/>
      <c r="G49" s="315"/>
      <c r="H49" s="315"/>
      <c r="I49" s="315"/>
      <c r="J49" s="315"/>
      <c r="K49" s="315"/>
      <c r="L49" s="316" t="s">
        <v>150</v>
      </c>
      <c r="M49" s="320"/>
      <c r="N49" s="318"/>
      <c r="O49" s="315"/>
      <c r="P49" s="315"/>
      <c r="Q49" s="319"/>
    </row>
    <row r="50" spans="1:17" s="145" customFormat="1" ht="17.25" x14ac:dyDescent="0.25">
      <c r="A50" s="256">
        <v>1</v>
      </c>
      <c r="C50" s="312" t="s">
        <v>181</v>
      </c>
      <c r="D50" s="313"/>
      <c r="E50" s="314" t="s">
        <v>124</v>
      </c>
      <c r="F50" s="315"/>
      <c r="G50" s="315"/>
      <c r="H50" s="315"/>
      <c r="I50" s="315"/>
      <c r="J50" s="315"/>
      <c r="K50" s="315"/>
      <c r="L50" s="316" t="s">
        <v>150</v>
      </c>
      <c r="M50" s="320"/>
      <c r="N50" s="318"/>
      <c r="O50" s="315"/>
      <c r="P50" s="315"/>
      <c r="Q50" s="319"/>
    </row>
    <row r="51" spans="1:17" s="145" customFormat="1" ht="48.75" x14ac:dyDescent="0.25">
      <c r="A51" s="256">
        <v>111</v>
      </c>
      <c r="C51" s="312" t="s">
        <v>182</v>
      </c>
      <c r="D51" s="313"/>
      <c r="E51" s="314" t="s">
        <v>124</v>
      </c>
      <c r="F51" s="315"/>
      <c r="G51" s="315"/>
      <c r="H51" s="315"/>
      <c r="I51" s="315"/>
      <c r="J51" s="315"/>
      <c r="K51" s="315"/>
      <c r="L51" s="316" t="s">
        <v>150</v>
      </c>
      <c r="M51" s="320"/>
      <c r="N51" s="318"/>
      <c r="O51" s="315"/>
      <c r="P51" s="315"/>
      <c r="Q51" s="319"/>
    </row>
    <row r="52" spans="1:17" s="145" customFormat="1" ht="64.5" x14ac:dyDescent="0.25">
      <c r="A52" s="256">
        <v>1111</v>
      </c>
      <c r="C52" s="312" t="s">
        <v>183</v>
      </c>
      <c r="D52" s="313"/>
      <c r="E52" s="314" t="s">
        <v>124</v>
      </c>
      <c r="F52" s="315"/>
      <c r="G52" s="315"/>
      <c r="H52" s="315"/>
      <c r="I52" s="315"/>
      <c r="J52" s="315"/>
      <c r="K52" s="315"/>
      <c r="L52" s="316" t="s">
        <v>150</v>
      </c>
      <c r="M52" s="320"/>
      <c r="N52" s="318"/>
      <c r="O52" s="315"/>
      <c r="P52" s="315"/>
      <c r="Q52" s="319"/>
    </row>
    <row r="53" spans="1:17" s="145" customFormat="1" ht="33" x14ac:dyDescent="0.25">
      <c r="A53" s="256">
        <v>11</v>
      </c>
      <c r="C53" s="312" t="s">
        <v>184</v>
      </c>
      <c r="D53" s="313"/>
      <c r="E53" s="314" t="s">
        <v>124</v>
      </c>
      <c r="F53" s="315"/>
      <c r="G53" s="315"/>
      <c r="H53" s="315"/>
      <c r="I53" s="315"/>
      <c r="J53" s="315"/>
      <c r="K53" s="315"/>
      <c r="L53" s="316" t="s">
        <v>150</v>
      </c>
      <c r="M53" s="320"/>
      <c r="N53" s="318"/>
      <c r="O53" s="315"/>
      <c r="P53" s="315"/>
      <c r="Q53" s="319"/>
    </row>
    <row r="54" spans="1:17" s="145" customFormat="1" ht="64.5" x14ac:dyDescent="0.25">
      <c r="A54" s="256">
        <v>1111</v>
      </c>
      <c r="C54" s="312" t="s">
        <v>185</v>
      </c>
      <c r="D54" s="313"/>
      <c r="E54" s="314" t="s">
        <v>124</v>
      </c>
      <c r="F54" s="315"/>
      <c r="G54" s="315"/>
      <c r="H54" s="315"/>
      <c r="I54" s="315"/>
      <c r="J54" s="315"/>
      <c r="K54" s="315"/>
      <c r="L54" s="316" t="s">
        <v>150</v>
      </c>
      <c r="M54" s="320"/>
      <c r="N54" s="318"/>
      <c r="O54" s="315"/>
      <c r="P54" s="315"/>
      <c r="Q54" s="319"/>
    </row>
    <row r="55" spans="1:17" s="145" customFormat="1" ht="33" x14ac:dyDescent="0.25">
      <c r="A55" s="256">
        <v>11</v>
      </c>
      <c r="C55" s="312" t="s">
        <v>186</v>
      </c>
      <c r="D55" s="313"/>
      <c r="E55" s="314" t="s">
        <v>124</v>
      </c>
      <c r="F55" s="315"/>
      <c r="G55" s="315"/>
      <c r="H55" s="315"/>
      <c r="I55" s="315"/>
      <c r="J55" s="315"/>
      <c r="K55" s="315"/>
      <c r="L55" s="316" t="s">
        <v>150</v>
      </c>
      <c r="M55" s="320"/>
      <c r="N55" s="318"/>
      <c r="O55" s="315"/>
      <c r="P55" s="315"/>
      <c r="Q55" s="319"/>
    </row>
    <row r="56" spans="1:17" s="145" customFormat="1" ht="33" x14ac:dyDescent="0.25">
      <c r="A56" s="256">
        <v>11</v>
      </c>
      <c r="C56" s="312" t="s">
        <v>187</v>
      </c>
      <c r="D56" s="313"/>
      <c r="E56" s="314" t="s">
        <v>124</v>
      </c>
      <c r="F56" s="315"/>
      <c r="G56" s="315"/>
      <c r="H56" s="315"/>
      <c r="I56" s="315"/>
      <c r="J56" s="315"/>
      <c r="K56" s="315"/>
      <c r="L56" s="316" t="s">
        <v>150</v>
      </c>
      <c r="M56" s="320"/>
      <c r="N56" s="318"/>
      <c r="O56" s="315"/>
      <c r="P56" s="315"/>
      <c r="Q56" s="319"/>
    </row>
    <row r="57" spans="1:17" s="145" customFormat="1" ht="15.75" x14ac:dyDescent="0.25">
      <c r="A57" s="256"/>
      <c r="B57" s="145" t="s">
        <v>153</v>
      </c>
      <c r="C57" s="322" t="s">
        <v>188</v>
      </c>
      <c r="D57" s="323"/>
      <c r="E57" s="318"/>
      <c r="F57" s="315"/>
      <c r="G57" s="315"/>
      <c r="H57" s="315"/>
      <c r="I57" s="315"/>
      <c r="J57" s="315"/>
      <c r="K57" s="315"/>
      <c r="L57" s="324"/>
      <c r="M57" s="320"/>
      <c r="N57" s="318"/>
      <c r="O57" s="315"/>
      <c r="P57" s="315"/>
      <c r="Q57" s="319"/>
    </row>
    <row r="58" spans="1:17" s="145" customFormat="1" ht="15.75" x14ac:dyDescent="0.25">
      <c r="A58" s="256"/>
      <c r="C58" s="312" t="s">
        <v>189</v>
      </c>
      <c r="D58" s="313"/>
      <c r="E58" s="318"/>
      <c r="F58" s="315"/>
      <c r="G58" s="315"/>
      <c r="H58" s="315"/>
      <c r="I58" s="315"/>
      <c r="J58" s="315"/>
      <c r="K58" s="315"/>
      <c r="L58" s="316" t="s">
        <v>150</v>
      </c>
      <c r="M58" s="320"/>
      <c r="N58" s="318"/>
      <c r="O58" s="315"/>
      <c r="P58" s="315"/>
      <c r="Q58" s="319"/>
    </row>
    <row r="59" spans="1:17" s="145" customFormat="1" ht="15.75" x14ac:dyDescent="0.25">
      <c r="A59" s="256"/>
      <c r="C59" s="312" t="s">
        <v>190</v>
      </c>
      <c r="D59" s="313"/>
      <c r="E59" s="318"/>
      <c r="F59" s="315"/>
      <c r="G59" s="315"/>
      <c r="H59" s="315"/>
      <c r="I59" s="315"/>
      <c r="J59" s="315"/>
      <c r="K59" s="315"/>
      <c r="L59" s="316" t="s">
        <v>150</v>
      </c>
      <c r="M59" s="320"/>
      <c r="N59" s="318"/>
      <c r="O59" s="315"/>
      <c r="P59" s="315"/>
      <c r="Q59" s="319"/>
    </row>
    <row r="60" spans="1:17" s="145" customFormat="1" ht="15.75" x14ac:dyDescent="0.25">
      <c r="A60" s="256"/>
      <c r="C60" s="312" t="s">
        <v>191</v>
      </c>
      <c r="D60" s="313"/>
      <c r="E60" s="318"/>
      <c r="F60" s="315"/>
      <c r="G60" s="315"/>
      <c r="H60" s="315"/>
      <c r="I60" s="315"/>
      <c r="J60" s="315"/>
      <c r="K60" s="315"/>
      <c r="L60" s="316" t="s">
        <v>150</v>
      </c>
      <c r="M60" s="320"/>
      <c r="N60" s="318"/>
      <c r="O60" s="315"/>
      <c r="P60" s="315"/>
      <c r="Q60" s="319"/>
    </row>
    <row r="61" spans="1:17" s="145" customFormat="1" ht="48.75" x14ac:dyDescent="0.25">
      <c r="A61" s="256">
        <v>111</v>
      </c>
      <c r="C61" s="312" t="s">
        <v>192</v>
      </c>
      <c r="D61" s="313"/>
      <c r="E61" s="314" t="s">
        <v>124</v>
      </c>
      <c r="F61" s="315"/>
      <c r="G61" s="315"/>
      <c r="H61" s="315"/>
      <c r="I61" s="315"/>
      <c r="J61" s="315"/>
      <c r="K61" s="315"/>
      <c r="L61" s="316" t="s">
        <v>150</v>
      </c>
      <c r="M61" s="320"/>
      <c r="N61" s="318"/>
      <c r="O61" s="315"/>
      <c r="P61" s="315"/>
      <c r="Q61" s="319"/>
    </row>
    <row r="62" spans="1:17" s="145" customFormat="1" ht="48.75" x14ac:dyDescent="0.25">
      <c r="A62" s="256">
        <v>111</v>
      </c>
      <c r="C62" s="312" t="s">
        <v>193</v>
      </c>
      <c r="D62" s="313"/>
      <c r="E62" s="314" t="s">
        <v>124</v>
      </c>
      <c r="F62" s="315"/>
      <c r="G62" s="315"/>
      <c r="H62" s="315"/>
      <c r="I62" s="315"/>
      <c r="J62" s="315"/>
      <c r="K62" s="315"/>
      <c r="L62" s="316" t="s">
        <v>150</v>
      </c>
      <c r="M62" s="320"/>
      <c r="N62" s="318"/>
      <c r="O62" s="315"/>
      <c r="P62" s="315"/>
      <c r="Q62" s="319"/>
    </row>
    <row r="63" spans="1:17" s="145" customFormat="1" ht="33" x14ac:dyDescent="0.25">
      <c r="A63" s="256">
        <v>11</v>
      </c>
      <c r="C63" s="312" t="s">
        <v>194</v>
      </c>
      <c r="D63" s="313"/>
      <c r="E63" s="314" t="s">
        <v>124</v>
      </c>
      <c r="F63" s="315"/>
      <c r="G63" s="315"/>
      <c r="H63" s="315"/>
      <c r="I63" s="315"/>
      <c r="J63" s="315"/>
      <c r="K63" s="315"/>
      <c r="L63" s="316" t="s">
        <v>150</v>
      </c>
      <c r="M63" s="320"/>
      <c r="N63" s="318"/>
      <c r="O63" s="315"/>
      <c r="P63" s="315"/>
      <c r="Q63" s="319"/>
    </row>
    <row r="64" spans="1:17" s="145" customFormat="1" ht="48.75" x14ac:dyDescent="0.25">
      <c r="A64" s="256">
        <v>111</v>
      </c>
      <c r="C64" s="312" t="s">
        <v>195</v>
      </c>
      <c r="D64" s="313"/>
      <c r="E64" s="314" t="s">
        <v>124</v>
      </c>
      <c r="F64" s="315"/>
      <c r="G64" s="315"/>
      <c r="H64" s="315"/>
      <c r="I64" s="315"/>
      <c r="J64" s="315"/>
      <c r="K64" s="315"/>
      <c r="L64" s="316" t="s">
        <v>150</v>
      </c>
      <c r="M64" s="320"/>
      <c r="N64" s="318"/>
      <c r="O64" s="315"/>
      <c r="P64" s="315"/>
      <c r="Q64" s="319"/>
    </row>
    <row r="65" spans="1:17" s="145" customFormat="1" ht="15.75" x14ac:dyDescent="0.25">
      <c r="A65" s="256"/>
      <c r="B65" s="145" t="s">
        <v>153</v>
      </c>
      <c r="C65" s="322" t="s">
        <v>196</v>
      </c>
      <c r="D65" s="323"/>
      <c r="E65" s="314" t="s">
        <v>124</v>
      </c>
      <c r="F65" s="315"/>
      <c r="G65" s="315"/>
      <c r="H65" s="315"/>
      <c r="I65" s="315"/>
      <c r="J65" s="315"/>
      <c r="K65" s="315"/>
      <c r="L65" s="324"/>
      <c r="M65" s="320"/>
      <c r="N65" s="318"/>
      <c r="O65" s="315"/>
      <c r="P65" s="315"/>
      <c r="Q65" s="319"/>
    </row>
    <row r="66" spans="1:17" s="145" customFormat="1" ht="33" x14ac:dyDescent="0.25">
      <c r="A66" s="256">
        <v>11</v>
      </c>
      <c r="C66" s="312" t="s">
        <v>197</v>
      </c>
      <c r="D66" s="313"/>
      <c r="E66" s="314" t="s">
        <v>124</v>
      </c>
      <c r="F66" s="315"/>
      <c r="G66" s="315"/>
      <c r="H66" s="315"/>
      <c r="I66" s="315"/>
      <c r="J66" s="315"/>
      <c r="K66" s="315"/>
      <c r="L66" s="316" t="s">
        <v>150</v>
      </c>
      <c r="M66" s="320"/>
      <c r="N66" s="318"/>
      <c r="O66" s="315"/>
      <c r="P66" s="315"/>
      <c r="Q66" s="319"/>
    </row>
    <row r="67" spans="1:17" s="145" customFormat="1" ht="33" x14ac:dyDescent="0.25">
      <c r="A67" s="256">
        <v>11</v>
      </c>
      <c r="C67" s="312" t="s">
        <v>198</v>
      </c>
      <c r="D67" s="313"/>
      <c r="E67" s="314" t="s">
        <v>124</v>
      </c>
      <c r="F67" s="315"/>
      <c r="G67" s="315"/>
      <c r="H67" s="315"/>
      <c r="I67" s="315"/>
      <c r="J67" s="315"/>
      <c r="K67" s="315"/>
      <c r="L67" s="316" t="s">
        <v>150</v>
      </c>
      <c r="M67" s="320"/>
      <c r="N67" s="318"/>
      <c r="O67" s="315"/>
      <c r="P67" s="315"/>
      <c r="Q67" s="319"/>
    </row>
    <row r="68" spans="1:17" s="145" customFormat="1" ht="33" x14ac:dyDescent="0.25">
      <c r="A68" s="256">
        <v>11</v>
      </c>
      <c r="C68" s="312" t="s">
        <v>199</v>
      </c>
      <c r="D68" s="313"/>
      <c r="E68" s="314" t="s">
        <v>124</v>
      </c>
      <c r="F68" s="315"/>
      <c r="G68" s="315"/>
      <c r="H68" s="315"/>
      <c r="I68" s="315"/>
      <c r="J68" s="315"/>
      <c r="K68" s="315"/>
      <c r="L68" s="316" t="s">
        <v>150</v>
      </c>
      <c r="M68" s="320"/>
      <c r="N68" s="318"/>
      <c r="O68" s="315"/>
      <c r="P68" s="315"/>
      <c r="Q68" s="319"/>
    </row>
    <row r="69" spans="1:17" s="145" customFormat="1" ht="16.5" thickBot="1" x14ac:dyDescent="0.3">
      <c r="A69" s="256"/>
      <c r="C69" s="327"/>
      <c r="D69" s="328"/>
      <c r="E69" s="329"/>
      <c r="F69" s="330"/>
      <c r="G69" s="330"/>
      <c r="H69" s="330"/>
      <c r="I69" s="330"/>
      <c r="J69" s="330"/>
      <c r="K69" s="330"/>
      <c r="L69" s="331"/>
      <c r="M69" s="332"/>
      <c r="N69" s="329"/>
      <c r="O69" s="330"/>
      <c r="P69" s="330"/>
      <c r="Q69" s="333"/>
    </row>
    <row r="70" spans="1:17" s="145" customFormat="1" ht="16.5" thickBot="1" x14ac:dyDescent="0.3">
      <c r="A70" s="256"/>
      <c r="C70" s="334" t="s">
        <v>200</v>
      </c>
      <c r="D70" s="334"/>
    </row>
    <row r="71" spans="1:17" s="145" customFormat="1" ht="49.5" thickBot="1" x14ac:dyDescent="0.3">
      <c r="A71" s="256">
        <v>111</v>
      </c>
      <c r="C71" s="335"/>
      <c r="D71" s="336"/>
      <c r="E71" s="336"/>
      <c r="F71" s="336"/>
      <c r="G71" s="336"/>
      <c r="H71" s="336"/>
      <c r="I71" s="336"/>
      <c r="J71" s="336"/>
      <c r="K71" s="336"/>
      <c r="L71" s="336"/>
      <c r="M71" s="336"/>
      <c r="N71" s="336"/>
      <c r="O71" s="336"/>
      <c r="P71" s="336"/>
      <c r="Q71" s="337"/>
    </row>
    <row r="72" spans="1:17" s="145" customFormat="1" ht="15.75" x14ac:dyDescent="0.25">
      <c r="A72" s="256"/>
    </row>
  </sheetData>
  <mergeCells count="75">
    <mergeCell ref="C68:D68"/>
    <mergeCell ref="C69:D69"/>
    <mergeCell ref="C70:D70"/>
    <mergeCell ref="C71:Q71"/>
    <mergeCell ref="C62:D62"/>
    <mergeCell ref="C63:D63"/>
    <mergeCell ref="C64:D64"/>
    <mergeCell ref="C65:D65"/>
    <mergeCell ref="C66:D66"/>
    <mergeCell ref="C67:D67"/>
    <mergeCell ref="C56:D56"/>
    <mergeCell ref="C57:D57"/>
    <mergeCell ref="C58:D58"/>
    <mergeCell ref="C59:D59"/>
    <mergeCell ref="C60:D60"/>
    <mergeCell ref="C61:D61"/>
    <mergeCell ref="C50:D50"/>
    <mergeCell ref="C51:D51"/>
    <mergeCell ref="C52:D52"/>
    <mergeCell ref="C53:D53"/>
    <mergeCell ref="C54:D54"/>
    <mergeCell ref="C55:D55"/>
    <mergeCell ref="C44:D44"/>
    <mergeCell ref="C45:D45"/>
    <mergeCell ref="C46:D46"/>
    <mergeCell ref="C47:D47"/>
    <mergeCell ref="C48:D48"/>
    <mergeCell ref="C49:D49"/>
    <mergeCell ref="C38:D38"/>
    <mergeCell ref="C39:D39"/>
    <mergeCell ref="C40:D40"/>
    <mergeCell ref="C41:D41"/>
    <mergeCell ref="C42:D42"/>
    <mergeCell ref="C43:D43"/>
    <mergeCell ref="C32:D32"/>
    <mergeCell ref="C33:D33"/>
    <mergeCell ref="C34:D34"/>
    <mergeCell ref="C35:D35"/>
    <mergeCell ref="C36:D36"/>
    <mergeCell ref="C37:D37"/>
    <mergeCell ref="C26:D26"/>
    <mergeCell ref="C27:D27"/>
    <mergeCell ref="C28:D28"/>
    <mergeCell ref="C29:D29"/>
    <mergeCell ref="C30:D30"/>
    <mergeCell ref="C31:D31"/>
    <mergeCell ref="C20:D20"/>
    <mergeCell ref="C21:D21"/>
    <mergeCell ref="C22:D22"/>
    <mergeCell ref="C23:D23"/>
    <mergeCell ref="C24:D24"/>
    <mergeCell ref="C25:D25"/>
    <mergeCell ref="B9:C10"/>
    <mergeCell ref="D9:Q9"/>
    <mergeCell ref="D10:Q10"/>
    <mergeCell ref="B12:D12"/>
    <mergeCell ref="C18:D19"/>
    <mergeCell ref="E18:K18"/>
    <mergeCell ref="L18:M19"/>
    <mergeCell ref="N18:P18"/>
    <mergeCell ref="Q18:Q19"/>
    <mergeCell ref="H6:K6"/>
    <mergeCell ref="N6:P6"/>
    <mergeCell ref="H7:K7"/>
    <mergeCell ref="L7:M7"/>
    <mergeCell ref="N7:P7"/>
    <mergeCell ref="H8:K8"/>
    <mergeCell ref="L8:M8"/>
    <mergeCell ref="N8:P8"/>
    <mergeCell ref="D1:P1"/>
    <mergeCell ref="D2:P2"/>
    <mergeCell ref="Q2:Q4"/>
    <mergeCell ref="P3:P4"/>
    <mergeCell ref="H5:K5"/>
    <mergeCell ref="N5:P5"/>
  </mergeCells>
  <conditionalFormatting sqref="C38:D56">
    <cfRule type="duplicateValues" dxfId="0" priority="1"/>
  </conditionalFormatting>
  <dataValidations count="6">
    <dataValidation type="list" allowBlank="1" showInputMessage="1" showErrorMessage="1" sqref="Q21:Q68" xr:uid="{17871170-C712-47C3-AFE7-3BAA74A15662}">
      <formula1>$I$13:$I$15</formula1>
    </dataValidation>
    <dataValidation type="custom" allowBlank="1" showInputMessage="1" showErrorMessage="1" sqref="E48:K56" xr:uid="{59312210-0D5F-462D-AF94-F91FA254F1BE}">
      <formula1>E41</formula1>
    </dataValidation>
    <dataValidation type="custom" allowBlank="1" showInputMessage="1" showErrorMessage="1" sqref="E41:K44 E58:K62" xr:uid="{FAC9ABFC-985E-4B7A-841A-AD233C3B314B}">
      <formula1>E35</formula1>
    </dataValidation>
    <dataValidation type="custom" allowBlank="1" showInputMessage="1" showErrorMessage="1" sqref="E45:K45" xr:uid="{B7EF7A95-2977-47F5-8805-CAB88989B484}">
      <formula1>E40</formula1>
    </dataValidation>
    <dataValidation type="custom" allowBlank="1" showInputMessage="1" showErrorMessage="1" sqref="E57:K57 E63:K64 E46:K47" xr:uid="{F8B4C4AE-8448-4859-9FE3-8857C16EC5DA}">
      <formula1>#REF!</formula1>
    </dataValidation>
    <dataValidation type="custom" allowBlank="1" showInputMessage="1" showErrorMessage="1" sqref="E20:E40 F25:K40 E65:K68" xr:uid="{DDD1D9A7-8482-49AB-83D4-245E45F29E3C}">
      <formula1>E12</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646E-C14D-432F-AEF5-2A3A5C40083E}">
  <dimension ref="A1:S35"/>
  <sheetViews>
    <sheetView topLeftCell="A7" workbookViewId="0">
      <selection activeCell="B10" sqref="B10"/>
    </sheetView>
  </sheetViews>
  <sheetFormatPr baseColWidth="10" defaultRowHeight="18.75" customHeight="1" x14ac:dyDescent="0.25"/>
  <cols>
    <col min="1" max="1" width="1.5703125" style="181" customWidth="1"/>
    <col min="2" max="2" width="23.140625" style="177" customWidth="1"/>
    <col min="3" max="3" width="15.85546875" style="171" customWidth="1"/>
    <col min="4" max="4" width="82" style="178" customWidth="1"/>
    <col min="5" max="5" width="13.7109375" style="145" customWidth="1"/>
    <col min="6" max="6" width="16.42578125" style="145" customWidth="1"/>
    <col min="7" max="7" width="22.28515625" style="145" customWidth="1"/>
    <col min="8" max="8" width="21.28515625" style="145" customWidth="1"/>
    <col min="9" max="256" width="11.42578125" style="145"/>
    <col min="257" max="257" width="1.5703125" style="145" customWidth="1"/>
    <col min="258" max="258" width="23.140625" style="145" customWidth="1"/>
    <col min="259" max="259" width="15.85546875" style="145" customWidth="1"/>
    <col min="260" max="260" width="82" style="145" customWidth="1"/>
    <col min="261" max="261" width="13.7109375" style="145" customWidth="1"/>
    <col min="262" max="262" width="16.42578125" style="145" customWidth="1"/>
    <col min="263" max="263" width="22.28515625" style="145" customWidth="1"/>
    <col min="264" max="264" width="21.28515625" style="145" customWidth="1"/>
    <col min="265" max="512" width="11.42578125" style="145"/>
    <col min="513" max="513" width="1.5703125" style="145" customWidth="1"/>
    <col min="514" max="514" width="23.140625" style="145" customWidth="1"/>
    <col min="515" max="515" width="15.85546875" style="145" customWidth="1"/>
    <col min="516" max="516" width="82" style="145" customWidth="1"/>
    <col min="517" max="517" width="13.7109375" style="145" customWidth="1"/>
    <col min="518" max="518" width="16.42578125" style="145" customWidth="1"/>
    <col min="519" max="519" width="22.28515625" style="145" customWidth="1"/>
    <col min="520" max="520" width="21.28515625" style="145" customWidth="1"/>
    <col min="521" max="768" width="11.42578125" style="145"/>
    <col min="769" max="769" width="1.5703125" style="145" customWidth="1"/>
    <col min="770" max="770" width="23.140625" style="145" customWidth="1"/>
    <col min="771" max="771" width="15.85546875" style="145" customWidth="1"/>
    <col min="772" max="772" width="82" style="145" customWidth="1"/>
    <col min="773" max="773" width="13.7109375" style="145" customWidth="1"/>
    <col min="774" max="774" width="16.42578125" style="145" customWidth="1"/>
    <col min="775" max="775" width="22.28515625" style="145" customWidth="1"/>
    <col min="776" max="776" width="21.28515625" style="145" customWidth="1"/>
    <col min="777" max="1024" width="11.42578125" style="145"/>
    <col min="1025" max="1025" width="1.5703125" style="145" customWidth="1"/>
    <col min="1026" max="1026" width="23.140625" style="145" customWidth="1"/>
    <col min="1027" max="1027" width="15.85546875" style="145" customWidth="1"/>
    <col min="1028" max="1028" width="82" style="145" customWidth="1"/>
    <col min="1029" max="1029" width="13.7109375" style="145" customWidth="1"/>
    <col min="1030" max="1030" width="16.42578125" style="145" customWidth="1"/>
    <col min="1031" max="1031" width="22.28515625" style="145" customWidth="1"/>
    <col min="1032" max="1032" width="21.28515625" style="145" customWidth="1"/>
    <col min="1033" max="1280" width="11.42578125" style="145"/>
    <col min="1281" max="1281" width="1.5703125" style="145" customWidth="1"/>
    <col min="1282" max="1282" width="23.140625" style="145" customWidth="1"/>
    <col min="1283" max="1283" width="15.85546875" style="145" customWidth="1"/>
    <col min="1284" max="1284" width="82" style="145" customWidth="1"/>
    <col min="1285" max="1285" width="13.7109375" style="145" customWidth="1"/>
    <col min="1286" max="1286" width="16.42578125" style="145" customWidth="1"/>
    <col min="1287" max="1287" width="22.28515625" style="145" customWidth="1"/>
    <col min="1288" max="1288" width="21.28515625" style="145" customWidth="1"/>
    <col min="1289" max="1536" width="11.42578125" style="145"/>
    <col min="1537" max="1537" width="1.5703125" style="145" customWidth="1"/>
    <col min="1538" max="1538" width="23.140625" style="145" customWidth="1"/>
    <col min="1539" max="1539" width="15.85546875" style="145" customWidth="1"/>
    <col min="1540" max="1540" width="82" style="145" customWidth="1"/>
    <col min="1541" max="1541" width="13.7109375" style="145" customWidth="1"/>
    <col min="1542" max="1542" width="16.42578125" style="145" customWidth="1"/>
    <col min="1543" max="1543" width="22.28515625" style="145" customWidth="1"/>
    <col min="1544" max="1544" width="21.28515625" style="145" customWidth="1"/>
    <col min="1545" max="1792" width="11.42578125" style="145"/>
    <col min="1793" max="1793" width="1.5703125" style="145" customWidth="1"/>
    <col min="1794" max="1794" width="23.140625" style="145" customWidth="1"/>
    <col min="1795" max="1795" width="15.85546875" style="145" customWidth="1"/>
    <col min="1796" max="1796" width="82" style="145" customWidth="1"/>
    <col min="1797" max="1797" width="13.7109375" style="145" customWidth="1"/>
    <col min="1798" max="1798" width="16.42578125" style="145" customWidth="1"/>
    <col min="1799" max="1799" width="22.28515625" style="145" customWidth="1"/>
    <col min="1800" max="1800" width="21.28515625" style="145" customWidth="1"/>
    <col min="1801" max="2048" width="11.42578125" style="145"/>
    <col min="2049" max="2049" width="1.5703125" style="145" customWidth="1"/>
    <col min="2050" max="2050" width="23.140625" style="145" customWidth="1"/>
    <col min="2051" max="2051" width="15.85546875" style="145" customWidth="1"/>
    <col min="2052" max="2052" width="82" style="145" customWidth="1"/>
    <col min="2053" max="2053" width="13.7109375" style="145" customWidth="1"/>
    <col min="2054" max="2054" width="16.42578125" style="145" customWidth="1"/>
    <col min="2055" max="2055" width="22.28515625" style="145" customWidth="1"/>
    <col min="2056" max="2056" width="21.28515625" style="145" customWidth="1"/>
    <col min="2057" max="2304" width="11.42578125" style="145"/>
    <col min="2305" max="2305" width="1.5703125" style="145" customWidth="1"/>
    <col min="2306" max="2306" width="23.140625" style="145" customWidth="1"/>
    <col min="2307" max="2307" width="15.85546875" style="145" customWidth="1"/>
    <col min="2308" max="2308" width="82" style="145" customWidth="1"/>
    <col min="2309" max="2309" width="13.7109375" style="145" customWidth="1"/>
    <col min="2310" max="2310" width="16.42578125" style="145" customWidth="1"/>
    <col min="2311" max="2311" width="22.28515625" style="145" customWidth="1"/>
    <col min="2312" max="2312" width="21.28515625" style="145" customWidth="1"/>
    <col min="2313" max="2560" width="11.42578125" style="145"/>
    <col min="2561" max="2561" width="1.5703125" style="145" customWidth="1"/>
    <col min="2562" max="2562" width="23.140625" style="145" customWidth="1"/>
    <col min="2563" max="2563" width="15.85546875" style="145" customWidth="1"/>
    <col min="2564" max="2564" width="82" style="145" customWidth="1"/>
    <col min="2565" max="2565" width="13.7109375" style="145" customWidth="1"/>
    <col min="2566" max="2566" width="16.42578125" style="145" customWidth="1"/>
    <col min="2567" max="2567" width="22.28515625" style="145" customWidth="1"/>
    <col min="2568" max="2568" width="21.28515625" style="145" customWidth="1"/>
    <col min="2569" max="2816" width="11.42578125" style="145"/>
    <col min="2817" max="2817" width="1.5703125" style="145" customWidth="1"/>
    <col min="2818" max="2818" width="23.140625" style="145" customWidth="1"/>
    <col min="2819" max="2819" width="15.85546875" style="145" customWidth="1"/>
    <col min="2820" max="2820" width="82" style="145" customWidth="1"/>
    <col min="2821" max="2821" width="13.7109375" style="145" customWidth="1"/>
    <col min="2822" max="2822" width="16.42578125" style="145" customWidth="1"/>
    <col min="2823" max="2823" width="22.28515625" style="145" customWidth="1"/>
    <col min="2824" max="2824" width="21.28515625" style="145" customWidth="1"/>
    <col min="2825" max="3072" width="11.42578125" style="145"/>
    <col min="3073" max="3073" width="1.5703125" style="145" customWidth="1"/>
    <col min="3074" max="3074" width="23.140625" style="145" customWidth="1"/>
    <col min="3075" max="3075" width="15.85546875" style="145" customWidth="1"/>
    <col min="3076" max="3076" width="82" style="145" customWidth="1"/>
    <col min="3077" max="3077" width="13.7109375" style="145" customWidth="1"/>
    <col min="3078" max="3078" width="16.42578125" style="145" customWidth="1"/>
    <col min="3079" max="3079" width="22.28515625" style="145" customWidth="1"/>
    <col min="3080" max="3080" width="21.28515625" style="145" customWidth="1"/>
    <col min="3081" max="3328" width="11.42578125" style="145"/>
    <col min="3329" max="3329" width="1.5703125" style="145" customWidth="1"/>
    <col min="3330" max="3330" width="23.140625" style="145" customWidth="1"/>
    <col min="3331" max="3331" width="15.85546875" style="145" customWidth="1"/>
    <col min="3332" max="3332" width="82" style="145" customWidth="1"/>
    <col min="3333" max="3333" width="13.7109375" style="145" customWidth="1"/>
    <col min="3334" max="3334" width="16.42578125" style="145" customWidth="1"/>
    <col min="3335" max="3335" width="22.28515625" style="145" customWidth="1"/>
    <col min="3336" max="3336" width="21.28515625" style="145" customWidth="1"/>
    <col min="3337" max="3584" width="11.42578125" style="145"/>
    <col min="3585" max="3585" width="1.5703125" style="145" customWidth="1"/>
    <col min="3586" max="3586" width="23.140625" style="145" customWidth="1"/>
    <col min="3587" max="3587" width="15.85546875" style="145" customWidth="1"/>
    <col min="3588" max="3588" width="82" style="145" customWidth="1"/>
    <col min="3589" max="3589" width="13.7109375" style="145" customWidth="1"/>
    <col min="3590" max="3590" width="16.42578125" style="145" customWidth="1"/>
    <col min="3591" max="3591" width="22.28515625" style="145" customWidth="1"/>
    <col min="3592" max="3592" width="21.28515625" style="145" customWidth="1"/>
    <col min="3593" max="3840" width="11.42578125" style="145"/>
    <col min="3841" max="3841" width="1.5703125" style="145" customWidth="1"/>
    <col min="3842" max="3842" width="23.140625" style="145" customWidth="1"/>
    <col min="3843" max="3843" width="15.85546875" style="145" customWidth="1"/>
    <col min="3844" max="3844" width="82" style="145" customWidth="1"/>
    <col min="3845" max="3845" width="13.7109375" style="145" customWidth="1"/>
    <col min="3846" max="3846" width="16.42578125" style="145" customWidth="1"/>
    <col min="3847" max="3847" width="22.28515625" style="145" customWidth="1"/>
    <col min="3848" max="3848" width="21.28515625" style="145" customWidth="1"/>
    <col min="3849" max="4096" width="11.42578125" style="145"/>
    <col min="4097" max="4097" width="1.5703125" style="145" customWidth="1"/>
    <col min="4098" max="4098" width="23.140625" style="145" customWidth="1"/>
    <col min="4099" max="4099" width="15.85546875" style="145" customWidth="1"/>
    <col min="4100" max="4100" width="82" style="145" customWidth="1"/>
    <col min="4101" max="4101" width="13.7109375" style="145" customWidth="1"/>
    <col min="4102" max="4102" width="16.42578125" style="145" customWidth="1"/>
    <col min="4103" max="4103" width="22.28515625" style="145" customWidth="1"/>
    <col min="4104" max="4104" width="21.28515625" style="145" customWidth="1"/>
    <col min="4105" max="4352" width="11.42578125" style="145"/>
    <col min="4353" max="4353" width="1.5703125" style="145" customWidth="1"/>
    <col min="4354" max="4354" width="23.140625" style="145" customWidth="1"/>
    <col min="4355" max="4355" width="15.85546875" style="145" customWidth="1"/>
    <col min="4356" max="4356" width="82" style="145" customWidth="1"/>
    <col min="4357" max="4357" width="13.7109375" style="145" customWidth="1"/>
    <col min="4358" max="4358" width="16.42578125" style="145" customWidth="1"/>
    <col min="4359" max="4359" width="22.28515625" style="145" customWidth="1"/>
    <col min="4360" max="4360" width="21.28515625" style="145" customWidth="1"/>
    <col min="4361" max="4608" width="11.42578125" style="145"/>
    <col min="4609" max="4609" width="1.5703125" style="145" customWidth="1"/>
    <col min="4610" max="4610" width="23.140625" style="145" customWidth="1"/>
    <col min="4611" max="4611" width="15.85546875" style="145" customWidth="1"/>
    <col min="4612" max="4612" width="82" style="145" customWidth="1"/>
    <col min="4613" max="4613" width="13.7109375" style="145" customWidth="1"/>
    <col min="4614" max="4614" width="16.42578125" style="145" customWidth="1"/>
    <col min="4615" max="4615" width="22.28515625" style="145" customWidth="1"/>
    <col min="4616" max="4616" width="21.28515625" style="145" customWidth="1"/>
    <col min="4617" max="4864" width="11.42578125" style="145"/>
    <col min="4865" max="4865" width="1.5703125" style="145" customWidth="1"/>
    <col min="4866" max="4866" width="23.140625" style="145" customWidth="1"/>
    <col min="4867" max="4867" width="15.85546875" style="145" customWidth="1"/>
    <col min="4868" max="4868" width="82" style="145" customWidth="1"/>
    <col min="4869" max="4869" width="13.7109375" style="145" customWidth="1"/>
    <col min="4870" max="4870" width="16.42578125" style="145" customWidth="1"/>
    <col min="4871" max="4871" width="22.28515625" style="145" customWidth="1"/>
    <col min="4872" max="4872" width="21.28515625" style="145" customWidth="1"/>
    <col min="4873" max="5120" width="11.42578125" style="145"/>
    <col min="5121" max="5121" width="1.5703125" style="145" customWidth="1"/>
    <col min="5122" max="5122" width="23.140625" style="145" customWidth="1"/>
    <col min="5123" max="5123" width="15.85546875" style="145" customWidth="1"/>
    <col min="5124" max="5124" width="82" style="145" customWidth="1"/>
    <col min="5125" max="5125" width="13.7109375" style="145" customWidth="1"/>
    <col min="5126" max="5126" width="16.42578125" style="145" customWidth="1"/>
    <col min="5127" max="5127" width="22.28515625" style="145" customWidth="1"/>
    <col min="5128" max="5128" width="21.28515625" style="145" customWidth="1"/>
    <col min="5129" max="5376" width="11.42578125" style="145"/>
    <col min="5377" max="5377" width="1.5703125" style="145" customWidth="1"/>
    <col min="5378" max="5378" width="23.140625" style="145" customWidth="1"/>
    <col min="5379" max="5379" width="15.85546875" style="145" customWidth="1"/>
    <col min="5380" max="5380" width="82" style="145" customWidth="1"/>
    <col min="5381" max="5381" width="13.7109375" style="145" customWidth="1"/>
    <col min="5382" max="5382" width="16.42578125" style="145" customWidth="1"/>
    <col min="5383" max="5383" width="22.28515625" style="145" customWidth="1"/>
    <col min="5384" max="5384" width="21.28515625" style="145" customWidth="1"/>
    <col min="5385" max="5632" width="11.42578125" style="145"/>
    <col min="5633" max="5633" width="1.5703125" style="145" customWidth="1"/>
    <col min="5634" max="5634" width="23.140625" style="145" customWidth="1"/>
    <col min="5635" max="5635" width="15.85546875" style="145" customWidth="1"/>
    <col min="5636" max="5636" width="82" style="145" customWidth="1"/>
    <col min="5637" max="5637" width="13.7109375" style="145" customWidth="1"/>
    <col min="5638" max="5638" width="16.42578125" style="145" customWidth="1"/>
    <col min="5639" max="5639" width="22.28515625" style="145" customWidth="1"/>
    <col min="5640" max="5640" width="21.28515625" style="145" customWidth="1"/>
    <col min="5641" max="5888" width="11.42578125" style="145"/>
    <col min="5889" max="5889" width="1.5703125" style="145" customWidth="1"/>
    <col min="5890" max="5890" width="23.140625" style="145" customWidth="1"/>
    <col min="5891" max="5891" width="15.85546875" style="145" customWidth="1"/>
    <col min="5892" max="5892" width="82" style="145" customWidth="1"/>
    <col min="5893" max="5893" width="13.7109375" style="145" customWidth="1"/>
    <col min="5894" max="5894" width="16.42578125" style="145" customWidth="1"/>
    <col min="5895" max="5895" width="22.28515625" style="145" customWidth="1"/>
    <col min="5896" max="5896" width="21.28515625" style="145" customWidth="1"/>
    <col min="5897" max="6144" width="11.42578125" style="145"/>
    <col min="6145" max="6145" width="1.5703125" style="145" customWidth="1"/>
    <col min="6146" max="6146" width="23.140625" style="145" customWidth="1"/>
    <col min="6147" max="6147" width="15.85546875" style="145" customWidth="1"/>
    <col min="6148" max="6148" width="82" style="145" customWidth="1"/>
    <col min="6149" max="6149" width="13.7109375" style="145" customWidth="1"/>
    <col min="6150" max="6150" width="16.42578125" style="145" customWidth="1"/>
    <col min="6151" max="6151" width="22.28515625" style="145" customWidth="1"/>
    <col min="6152" max="6152" width="21.28515625" style="145" customWidth="1"/>
    <col min="6153" max="6400" width="11.42578125" style="145"/>
    <col min="6401" max="6401" width="1.5703125" style="145" customWidth="1"/>
    <col min="6402" max="6402" width="23.140625" style="145" customWidth="1"/>
    <col min="6403" max="6403" width="15.85546875" style="145" customWidth="1"/>
    <col min="6404" max="6404" width="82" style="145" customWidth="1"/>
    <col min="6405" max="6405" width="13.7109375" style="145" customWidth="1"/>
    <col min="6406" max="6406" width="16.42578125" style="145" customWidth="1"/>
    <col min="6407" max="6407" width="22.28515625" style="145" customWidth="1"/>
    <col min="6408" max="6408" width="21.28515625" style="145" customWidth="1"/>
    <col min="6409" max="6656" width="11.42578125" style="145"/>
    <col min="6657" max="6657" width="1.5703125" style="145" customWidth="1"/>
    <col min="6658" max="6658" width="23.140625" style="145" customWidth="1"/>
    <col min="6659" max="6659" width="15.85546875" style="145" customWidth="1"/>
    <col min="6660" max="6660" width="82" style="145" customWidth="1"/>
    <col min="6661" max="6661" width="13.7109375" style="145" customWidth="1"/>
    <col min="6662" max="6662" width="16.42578125" style="145" customWidth="1"/>
    <col min="6663" max="6663" width="22.28515625" style="145" customWidth="1"/>
    <col min="6664" max="6664" width="21.28515625" style="145" customWidth="1"/>
    <col min="6665" max="6912" width="11.42578125" style="145"/>
    <col min="6913" max="6913" width="1.5703125" style="145" customWidth="1"/>
    <col min="6914" max="6914" width="23.140625" style="145" customWidth="1"/>
    <col min="6915" max="6915" width="15.85546875" style="145" customWidth="1"/>
    <col min="6916" max="6916" width="82" style="145" customWidth="1"/>
    <col min="6917" max="6917" width="13.7109375" style="145" customWidth="1"/>
    <col min="6918" max="6918" width="16.42578125" style="145" customWidth="1"/>
    <col min="6919" max="6919" width="22.28515625" style="145" customWidth="1"/>
    <col min="6920" max="6920" width="21.28515625" style="145" customWidth="1"/>
    <col min="6921" max="7168" width="11.42578125" style="145"/>
    <col min="7169" max="7169" width="1.5703125" style="145" customWidth="1"/>
    <col min="7170" max="7170" width="23.140625" style="145" customWidth="1"/>
    <col min="7171" max="7171" width="15.85546875" style="145" customWidth="1"/>
    <col min="7172" max="7172" width="82" style="145" customWidth="1"/>
    <col min="7173" max="7173" width="13.7109375" style="145" customWidth="1"/>
    <col min="7174" max="7174" width="16.42578125" style="145" customWidth="1"/>
    <col min="7175" max="7175" width="22.28515625" style="145" customWidth="1"/>
    <col min="7176" max="7176" width="21.28515625" style="145" customWidth="1"/>
    <col min="7177" max="7424" width="11.42578125" style="145"/>
    <col min="7425" max="7425" width="1.5703125" style="145" customWidth="1"/>
    <col min="7426" max="7426" width="23.140625" style="145" customWidth="1"/>
    <col min="7427" max="7427" width="15.85546875" style="145" customWidth="1"/>
    <col min="7428" max="7428" width="82" style="145" customWidth="1"/>
    <col min="7429" max="7429" width="13.7109375" style="145" customWidth="1"/>
    <col min="7430" max="7430" width="16.42578125" style="145" customWidth="1"/>
    <col min="7431" max="7431" width="22.28515625" style="145" customWidth="1"/>
    <col min="7432" max="7432" width="21.28515625" style="145" customWidth="1"/>
    <col min="7433" max="7680" width="11.42578125" style="145"/>
    <col min="7681" max="7681" width="1.5703125" style="145" customWidth="1"/>
    <col min="7682" max="7682" width="23.140625" style="145" customWidth="1"/>
    <col min="7683" max="7683" width="15.85546875" style="145" customWidth="1"/>
    <col min="7684" max="7684" width="82" style="145" customWidth="1"/>
    <col min="7685" max="7685" width="13.7109375" style="145" customWidth="1"/>
    <col min="7686" max="7686" width="16.42578125" style="145" customWidth="1"/>
    <col min="7687" max="7687" width="22.28515625" style="145" customWidth="1"/>
    <col min="7688" max="7688" width="21.28515625" style="145" customWidth="1"/>
    <col min="7689" max="7936" width="11.42578125" style="145"/>
    <col min="7937" max="7937" width="1.5703125" style="145" customWidth="1"/>
    <col min="7938" max="7938" width="23.140625" style="145" customWidth="1"/>
    <col min="7939" max="7939" width="15.85546875" style="145" customWidth="1"/>
    <col min="7940" max="7940" width="82" style="145" customWidth="1"/>
    <col min="7941" max="7941" width="13.7109375" style="145" customWidth="1"/>
    <col min="7942" max="7942" width="16.42578125" style="145" customWidth="1"/>
    <col min="7943" max="7943" width="22.28515625" style="145" customWidth="1"/>
    <col min="7944" max="7944" width="21.28515625" style="145" customWidth="1"/>
    <col min="7945" max="8192" width="11.42578125" style="145"/>
    <col min="8193" max="8193" width="1.5703125" style="145" customWidth="1"/>
    <col min="8194" max="8194" width="23.140625" style="145" customWidth="1"/>
    <col min="8195" max="8195" width="15.85546875" style="145" customWidth="1"/>
    <col min="8196" max="8196" width="82" style="145" customWidth="1"/>
    <col min="8197" max="8197" width="13.7109375" style="145" customWidth="1"/>
    <col min="8198" max="8198" width="16.42578125" style="145" customWidth="1"/>
    <col min="8199" max="8199" width="22.28515625" style="145" customWidth="1"/>
    <col min="8200" max="8200" width="21.28515625" style="145" customWidth="1"/>
    <col min="8201" max="8448" width="11.42578125" style="145"/>
    <col min="8449" max="8449" width="1.5703125" style="145" customWidth="1"/>
    <col min="8450" max="8450" width="23.140625" style="145" customWidth="1"/>
    <col min="8451" max="8451" width="15.85546875" style="145" customWidth="1"/>
    <col min="8452" max="8452" width="82" style="145" customWidth="1"/>
    <col min="8453" max="8453" width="13.7109375" style="145" customWidth="1"/>
    <col min="8454" max="8454" width="16.42578125" style="145" customWidth="1"/>
    <col min="8455" max="8455" width="22.28515625" style="145" customWidth="1"/>
    <col min="8456" max="8456" width="21.28515625" style="145" customWidth="1"/>
    <col min="8457" max="8704" width="11.42578125" style="145"/>
    <col min="8705" max="8705" width="1.5703125" style="145" customWidth="1"/>
    <col min="8706" max="8706" width="23.140625" style="145" customWidth="1"/>
    <col min="8707" max="8707" width="15.85546875" style="145" customWidth="1"/>
    <col min="8708" max="8708" width="82" style="145" customWidth="1"/>
    <col min="8709" max="8709" width="13.7109375" style="145" customWidth="1"/>
    <col min="8710" max="8710" width="16.42578125" style="145" customWidth="1"/>
    <col min="8711" max="8711" width="22.28515625" style="145" customWidth="1"/>
    <col min="8712" max="8712" width="21.28515625" style="145" customWidth="1"/>
    <col min="8713" max="8960" width="11.42578125" style="145"/>
    <col min="8961" max="8961" width="1.5703125" style="145" customWidth="1"/>
    <col min="8962" max="8962" width="23.140625" style="145" customWidth="1"/>
    <col min="8963" max="8963" width="15.85546875" style="145" customWidth="1"/>
    <col min="8964" max="8964" width="82" style="145" customWidth="1"/>
    <col min="8965" max="8965" width="13.7109375" style="145" customWidth="1"/>
    <col min="8966" max="8966" width="16.42578125" style="145" customWidth="1"/>
    <col min="8967" max="8967" width="22.28515625" style="145" customWidth="1"/>
    <col min="8968" max="8968" width="21.28515625" style="145" customWidth="1"/>
    <col min="8969" max="9216" width="11.42578125" style="145"/>
    <col min="9217" max="9217" width="1.5703125" style="145" customWidth="1"/>
    <col min="9218" max="9218" width="23.140625" style="145" customWidth="1"/>
    <col min="9219" max="9219" width="15.85546875" style="145" customWidth="1"/>
    <col min="9220" max="9220" width="82" style="145" customWidth="1"/>
    <col min="9221" max="9221" width="13.7109375" style="145" customWidth="1"/>
    <col min="9222" max="9222" width="16.42578125" style="145" customWidth="1"/>
    <col min="9223" max="9223" width="22.28515625" style="145" customWidth="1"/>
    <col min="9224" max="9224" width="21.28515625" style="145" customWidth="1"/>
    <col min="9225" max="9472" width="11.42578125" style="145"/>
    <col min="9473" max="9473" width="1.5703125" style="145" customWidth="1"/>
    <col min="9474" max="9474" width="23.140625" style="145" customWidth="1"/>
    <col min="9475" max="9475" width="15.85546875" style="145" customWidth="1"/>
    <col min="9476" max="9476" width="82" style="145" customWidth="1"/>
    <col min="9477" max="9477" width="13.7109375" style="145" customWidth="1"/>
    <col min="9478" max="9478" width="16.42578125" style="145" customWidth="1"/>
    <col min="9479" max="9479" width="22.28515625" style="145" customWidth="1"/>
    <col min="9480" max="9480" width="21.28515625" style="145" customWidth="1"/>
    <col min="9481" max="9728" width="11.42578125" style="145"/>
    <col min="9729" max="9729" width="1.5703125" style="145" customWidth="1"/>
    <col min="9730" max="9730" width="23.140625" style="145" customWidth="1"/>
    <col min="9731" max="9731" width="15.85546875" style="145" customWidth="1"/>
    <col min="9732" max="9732" width="82" style="145" customWidth="1"/>
    <col min="9733" max="9733" width="13.7109375" style="145" customWidth="1"/>
    <col min="9734" max="9734" width="16.42578125" style="145" customWidth="1"/>
    <col min="9735" max="9735" width="22.28515625" style="145" customWidth="1"/>
    <col min="9736" max="9736" width="21.28515625" style="145" customWidth="1"/>
    <col min="9737" max="9984" width="11.42578125" style="145"/>
    <col min="9985" max="9985" width="1.5703125" style="145" customWidth="1"/>
    <col min="9986" max="9986" width="23.140625" style="145" customWidth="1"/>
    <col min="9987" max="9987" width="15.85546875" style="145" customWidth="1"/>
    <col min="9988" max="9988" width="82" style="145" customWidth="1"/>
    <col min="9989" max="9989" width="13.7109375" style="145" customWidth="1"/>
    <col min="9990" max="9990" width="16.42578125" style="145" customWidth="1"/>
    <col min="9991" max="9991" width="22.28515625" style="145" customWidth="1"/>
    <col min="9992" max="9992" width="21.28515625" style="145" customWidth="1"/>
    <col min="9993" max="10240" width="11.42578125" style="145"/>
    <col min="10241" max="10241" width="1.5703125" style="145" customWidth="1"/>
    <col min="10242" max="10242" width="23.140625" style="145" customWidth="1"/>
    <col min="10243" max="10243" width="15.85546875" style="145" customWidth="1"/>
    <col min="10244" max="10244" width="82" style="145" customWidth="1"/>
    <col min="10245" max="10245" width="13.7109375" style="145" customWidth="1"/>
    <col min="10246" max="10246" width="16.42578125" style="145" customWidth="1"/>
    <col min="10247" max="10247" width="22.28515625" style="145" customWidth="1"/>
    <col min="10248" max="10248" width="21.28515625" style="145" customWidth="1"/>
    <col min="10249" max="10496" width="11.42578125" style="145"/>
    <col min="10497" max="10497" width="1.5703125" style="145" customWidth="1"/>
    <col min="10498" max="10498" width="23.140625" style="145" customWidth="1"/>
    <col min="10499" max="10499" width="15.85546875" style="145" customWidth="1"/>
    <col min="10500" max="10500" width="82" style="145" customWidth="1"/>
    <col min="10501" max="10501" width="13.7109375" style="145" customWidth="1"/>
    <col min="10502" max="10502" width="16.42578125" style="145" customWidth="1"/>
    <col min="10503" max="10503" width="22.28515625" style="145" customWidth="1"/>
    <col min="10504" max="10504" width="21.28515625" style="145" customWidth="1"/>
    <col min="10505" max="10752" width="11.42578125" style="145"/>
    <col min="10753" max="10753" width="1.5703125" style="145" customWidth="1"/>
    <col min="10754" max="10754" width="23.140625" style="145" customWidth="1"/>
    <col min="10755" max="10755" width="15.85546875" style="145" customWidth="1"/>
    <col min="10756" max="10756" width="82" style="145" customWidth="1"/>
    <col min="10757" max="10757" width="13.7109375" style="145" customWidth="1"/>
    <col min="10758" max="10758" width="16.42578125" style="145" customWidth="1"/>
    <col min="10759" max="10759" width="22.28515625" style="145" customWidth="1"/>
    <col min="10760" max="10760" width="21.28515625" style="145" customWidth="1"/>
    <col min="10761" max="11008" width="11.42578125" style="145"/>
    <col min="11009" max="11009" width="1.5703125" style="145" customWidth="1"/>
    <col min="11010" max="11010" width="23.140625" style="145" customWidth="1"/>
    <col min="11011" max="11011" width="15.85546875" style="145" customWidth="1"/>
    <col min="11012" max="11012" width="82" style="145" customWidth="1"/>
    <col min="11013" max="11013" width="13.7109375" style="145" customWidth="1"/>
    <col min="11014" max="11014" width="16.42578125" style="145" customWidth="1"/>
    <col min="11015" max="11015" width="22.28515625" style="145" customWidth="1"/>
    <col min="11016" max="11016" width="21.28515625" style="145" customWidth="1"/>
    <col min="11017" max="11264" width="11.42578125" style="145"/>
    <col min="11265" max="11265" width="1.5703125" style="145" customWidth="1"/>
    <col min="11266" max="11266" width="23.140625" style="145" customWidth="1"/>
    <col min="11267" max="11267" width="15.85546875" style="145" customWidth="1"/>
    <col min="11268" max="11268" width="82" style="145" customWidth="1"/>
    <col min="11269" max="11269" width="13.7109375" style="145" customWidth="1"/>
    <col min="11270" max="11270" width="16.42578125" style="145" customWidth="1"/>
    <col min="11271" max="11271" width="22.28515625" style="145" customWidth="1"/>
    <col min="11272" max="11272" width="21.28515625" style="145" customWidth="1"/>
    <col min="11273" max="11520" width="11.42578125" style="145"/>
    <col min="11521" max="11521" width="1.5703125" style="145" customWidth="1"/>
    <col min="11522" max="11522" width="23.140625" style="145" customWidth="1"/>
    <col min="11523" max="11523" width="15.85546875" style="145" customWidth="1"/>
    <col min="11524" max="11524" width="82" style="145" customWidth="1"/>
    <col min="11525" max="11525" width="13.7109375" style="145" customWidth="1"/>
    <col min="11526" max="11526" width="16.42578125" style="145" customWidth="1"/>
    <col min="11527" max="11527" width="22.28515625" style="145" customWidth="1"/>
    <col min="11528" max="11528" width="21.28515625" style="145" customWidth="1"/>
    <col min="11529" max="11776" width="11.42578125" style="145"/>
    <col min="11777" max="11777" width="1.5703125" style="145" customWidth="1"/>
    <col min="11778" max="11778" width="23.140625" style="145" customWidth="1"/>
    <col min="11779" max="11779" width="15.85546875" style="145" customWidth="1"/>
    <col min="11780" max="11780" width="82" style="145" customWidth="1"/>
    <col min="11781" max="11781" width="13.7109375" style="145" customWidth="1"/>
    <col min="11782" max="11782" width="16.42578125" style="145" customWidth="1"/>
    <col min="11783" max="11783" width="22.28515625" style="145" customWidth="1"/>
    <col min="11784" max="11784" width="21.28515625" style="145" customWidth="1"/>
    <col min="11785" max="12032" width="11.42578125" style="145"/>
    <col min="12033" max="12033" width="1.5703125" style="145" customWidth="1"/>
    <col min="12034" max="12034" width="23.140625" style="145" customWidth="1"/>
    <col min="12035" max="12035" width="15.85546875" style="145" customWidth="1"/>
    <col min="12036" max="12036" width="82" style="145" customWidth="1"/>
    <col min="12037" max="12037" width="13.7109375" style="145" customWidth="1"/>
    <col min="12038" max="12038" width="16.42578125" style="145" customWidth="1"/>
    <col min="12039" max="12039" width="22.28515625" style="145" customWidth="1"/>
    <col min="12040" max="12040" width="21.28515625" style="145" customWidth="1"/>
    <col min="12041" max="12288" width="11.42578125" style="145"/>
    <col min="12289" max="12289" width="1.5703125" style="145" customWidth="1"/>
    <col min="12290" max="12290" width="23.140625" style="145" customWidth="1"/>
    <col min="12291" max="12291" width="15.85546875" style="145" customWidth="1"/>
    <col min="12292" max="12292" width="82" style="145" customWidth="1"/>
    <col min="12293" max="12293" width="13.7109375" style="145" customWidth="1"/>
    <col min="12294" max="12294" width="16.42578125" style="145" customWidth="1"/>
    <col min="12295" max="12295" width="22.28515625" style="145" customWidth="1"/>
    <col min="12296" max="12296" width="21.28515625" style="145" customWidth="1"/>
    <col min="12297" max="12544" width="11.42578125" style="145"/>
    <col min="12545" max="12545" width="1.5703125" style="145" customWidth="1"/>
    <col min="12546" max="12546" width="23.140625" style="145" customWidth="1"/>
    <col min="12547" max="12547" width="15.85546875" style="145" customWidth="1"/>
    <col min="12548" max="12548" width="82" style="145" customWidth="1"/>
    <col min="12549" max="12549" width="13.7109375" style="145" customWidth="1"/>
    <col min="12550" max="12550" width="16.42578125" style="145" customWidth="1"/>
    <col min="12551" max="12551" width="22.28515625" style="145" customWidth="1"/>
    <col min="12552" max="12552" width="21.28515625" style="145" customWidth="1"/>
    <col min="12553" max="12800" width="11.42578125" style="145"/>
    <col min="12801" max="12801" width="1.5703125" style="145" customWidth="1"/>
    <col min="12802" max="12802" width="23.140625" style="145" customWidth="1"/>
    <col min="12803" max="12803" width="15.85546875" style="145" customWidth="1"/>
    <col min="12804" max="12804" width="82" style="145" customWidth="1"/>
    <col min="12805" max="12805" width="13.7109375" style="145" customWidth="1"/>
    <col min="12806" max="12806" width="16.42578125" style="145" customWidth="1"/>
    <col min="12807" max="12807" width="22.28515625" style="145" customWidth="1"/>
    <col min="12808" max="12808" width="21.28515625" style="145" customWidth="1"/>
    <col min="12809" max="13056" width="11.42578125" style="145"/>
    <col min="13057" max="13057" width="1.5703125" style="145" customWidth="1"/>
    <col min="13058" max="13058" width="23.140625" style="145" customWidth="1"/>
    <col min="13059" max="13059" width="15.85546875" style="145" customWidth="1"/>
    <col min="13060" max="13060" width="82" style="145" customWidth="1"/>
    <col min="13061" max="13061" width="13.7109375" style="145" customWidth="1"/>
    <col min="13062" max="13062" width="16.42578125" style="145" customWidth="1"/>
    <col min="13063" max="13063" width="22.28515625" style="145" customWidth="1"/>
    <col min="13064" max="13064" width="21.28515625" style="145" customWidth="1"/>
    <col min="13065" max="13312" width="11.42578125" style="145"/>
    <col min="13313" max="13313" width="1.5703125" style="145" customWidth="1"/>
    <col min="13314" max="13314" width="23.140625" style="145" customWidth="1"/>
    <col min="13315" max="13315" width="15.85546875" style="145" customWidth="1"/>
    <col min="13316" max="13316" width="82" style="145" customWidth="1"/>
    <col min="13317" max="13317" width="13.7109375" style="145" customWidth="1"/>
    <col min="13318" max="13318" width="16.42578125" style="145" customWidth="1"/>
    <col min="13319" max="13319" width="22.28515625" style="145" customWidth="1"/>
    <col min="13320" max="13320" width="21.28515625" style="145" customWidth="1"/>
    <col min="13321" max="13568" width="11.42578125" style="145"/>
    <col min="13569" max="13569" width="1.5703125" style="145" customWidth="1"/>
    <col min="13570" max="13570" width="23.140625" style="145" customWidth="1"/>
    <col min="13571" max="13571" width="15.85546875" style="145" customWidth="1"/>
    <col min="13572" max="13572" width="82" style="145" customWidth="1"/>
    <col min="13573" max="13573" width="13.7109375" style="145" customWidth="1"/>
    <col min="13574" max="13574" width="16.42578125" style="145" customWidth="1"/>
    <col min="13575" max="13575" width="22.28515625" style="145" customWidth="1"/>
    <col min="13576" max="13576" width="21.28515625" style="145" customWidth="1"/>
    <col min="13577" max="13824" width="11.42578125" style="145"/>
    <col min="13825" max="13825" width="1.5703125" style="145" customWidth="1"/>
    <col min="13826" max="13826" width="23.140625" style="145" customWidth="1"/>
    <col min="13827" max="13827" width="15.85546875" style="145" customWidth="1"/>
    <col min="13828" max="13828" width="82" style="145" customWidth="1"/>
    <col min="13829" max="13829" width="13.7109375" style="145" customWidth="1"/>
    <col min="13830" max="13830" width="16.42578125" style="145" customWidth="1"/>
    <col min="13831" max="13831" width="22.28515625" style="145" customWidth="1"/>
    <col min="13832" max="13832" width="21.28515625" style="145" customWidth="1"/>
    <col min="13833" max="14080" width="11.42578125" style="145"/>
    <col min="14081" max="14081" width="1.5703125" style="145" customWidth="1"/>
    <col min="14082" max="14082" width="23.140625" style="145" customWidth="1"/>
    <col min="14083" max="14083" width="15.85546875" style="145" customWidth="1"/>
    <col min="14084" max="14084" width="82" style="145" customWidth="1"/>
    <col min="14085" max="14085" width="13.7109375" style="145" customWidth="1"/>
    <col min="14086" max="14086" width="16.42578125" style="145" customWidth="1"/>
    <col min="14087" max="14087" width="22.28515625" style="145" customWidth="1"/>
    <col min="14088" max="14088" width="21.28515625" style="145" customWidth="1"/>
    <col min="14089" max="14336" width="11.42578125" style="145"/>
    <col min="14337" max="14337" width="1.5703125" style="145" customWidth="1"/>
    <col min="14338" max="14338" width="23.140625" style="145" customWidth="1"/>
    <col min="14339" max="14339" width="15.85546875" style="145" customWidth="1"/>
    <col min="14340" max="14340" width="82" style="145" customWidth="1"/>
    <col min="14341" max="14341" width="13.7109375" style="145" customWidth="1"/>
    <col min="14342" max="14342" width="16.42578125" style="145" customWidth="1"/>
    <col min="14343" max="14343" width="22.28515625" style="145" customWidth="1"/>
    <col min="14344" max="14344" width="21.28515625" style="145" customWidth="1"/>
    <col min="14345" max="14592" width="11.42578125" style="145"/>
    <col min="14593" max="14593" width="1.5703125" style="145" customWidth="1"/>
    <col min="14594" max="14594" width="23.140625" style="145" customWidth="1"/>
    <col min="14595" max="14595" width="15.85546875" style="145" customWidth="1"/>
    <col min="14596" max="14596" width="82" style="145" customWidth="1"/>
    <col min="14597" max="14597" width="13.7109375" style="145" customWidth="1"/>
    <col min="14598" max="14598" width="16.42578125" style="145" customWidth="1"/>
    <col min="14599" max="14599" width="22.28515625" style="145" customWidth="1"/>
    <col min="14600" max="14600" width="21.28515625" style="145" customWidth="1"/>
    <col min="14601" max="14848" width="11.42578125" style="145"/>
    <col min="14849" max="14849" width="1.5703125" style="145" customWidth="1"/>
    <col min="14850" max="14850" width="23.140625" style="145" customWidth="1"/>
    <col min="14851" max="14851" width="15.85546875" style="145" customWidth="1"/>
    <col min="14852" max="14852" width="82" style="145" customWidth="1"/>
    <col min="14853" max="14853" width="13.7109375" style="145" customWidth="1"/>
    <col min="14854" max="14854" width="16.42578125" style="145" customWidth="1"/>
    <col min="14855" max="14855" width="22.28515625" style="145" customWidth="1"/>
    <col min="14856" max="14856" width="21.28515625" style="145" customWidth="1"/>
    <col min="14857" max="15104" width="11.42578125" style="145"/>
    <col min="15105" max="15105" width="1.5703125" style="145" customWidth="1"/>
    <col min="15106" max="15106" width="23.140625" style="145" customWidth="1"/>
    <col min="15107" max="15107" width="15.85546875" style="145" customWidth="1"/>
    <col min="15108" max="15108" width="82" style="145" customWidth="1"/>
    <col min="15109" max="15109" width="13.7109375" style="145" customWidth="1"/>
    <col min="15110" max="15110" width="16.42578125" style="145" customWidth="1"/>
    <col min="15111" max="15111" width="22.28515625" style="145" customWidth="1"/>
    <col min="15112" max="15112" width="21.28515625" style="145" customWidth="1"/>
    <col min="15113" max="15360" width="11.42578125" style="145"/>
    <col min="15361" max="15361" width="1.5703125" style="145" customWidth="1"/>
    <col min="15362" max="15362" width="23.140625" style="145" customWidth="1"/>
    <col min="15363" max="15363" width="15.85546875" style="145" customWidth="1"/>
    <col min="15364" max="15364" width="82" style="145" customWidth="1"/>
    <col min="15365" max="15365" width="13.7109375" style="145" customWidth="1"/>
    <col min="15366" max="15366" width="16.42578125" style="145" customWidth="1"/>
    <col min="15367" max="15367" width="22.28515625" style="145" customWidth="1"/>
    <col min="15368" max="15368" width="21.28515625" style="145" customWidth="1"/>
    <col min="15369" max="15616" width="11.42578125" style="145"/>
    <col min="15617" max="15617" width="1.5703125" style="145" customWidth="1"/>
    <col min="15618" max="15618" width="23.140625" style="145" customWidth="1"/>
    <col min="15619" max="15619" width="15.85546875" style="145" customWidth="1"/>
    <col min="15620" max="15620" width="82" style="145" customWidth="1"/>
    <col min="15621" max="15621" width="13.7109375" style="145" customWidth="1"/>
    <col min="15622" max="15622" width="16.42578125" style="145" customWidth="1"/>
    <col min="15623" max="15623" width="22.28515625" style="145" customWidth="1"/>
    <col min="15624" max="15624" width="21.28515625" style="145" customWidth="1"/>
    <col min="15625" max="15872" width="11.42578125" style="145"/>
    <col min="15873" max="15873" width="1.5703125" style="145" customWidth="1"/>
    <col min="15874" max="15874" width="23.140625" style="145" customWidth="1"/>
    <col min="15875" max="15875" width="15.85546875" style="145" customWidth="1"/>
    <col min="15876" max="15876" width="82" style="145" customWidth="1"/>
    <col min="15877" max="15877" width="13.7109375" style="145" customWidth="1"/>
    <col min="15878" max="15878" width="16.42578125" style="145" customWidth="1"/>
    <col min="15879" max="15879" width="22.28515625" style="145" customWidth="1"/>
    <col min="15880" max="15880" width="21.28515625" style="145" customWidth="1"/>
    <col min="15881" max="16128" width="11.42578125" style="145"/>
    <col min="16129" max="16129" width="1.5703125" style="145" customWidth="1"/>
    <col min="16130" max="16130" width="23.140625" style="145" customWidth="1"/>
    <col min="16131" max="16131" width="15.85546875" style="145" customWidth="1"/>
    <col min="16132" max="16132" width="82" style="145" customWidth="1"/>
    <col min="16133" max="16133" width="13.7109375" style="145" customWidth="1"/>
    <col min="16134" max="16134" width="16.42578125" style="145" customWidth="1"/>
    <col min="16135" max="16135" width="22.28515625" style="145" customWidth="1"/>
    <col min="16136" max="16136" width="21.28515625" style="145" customWidth="1"/>
    <col min="16137" max="16384" width="11.42578125" style="145"/>
  </cols>
  <sheetData>
    <row r="1" spans="1:19" s="138" customFormat="1" ht="28.5" customHeight="1" x14ac:dyDescent="0.3">
      <c r="A1" s="180"/>
      <c r="B1" s="135"/>
      <c r="C1" s="230" t="s">
        <v>21</v>
      </c>
      <c r="D1" s="230"/>
      <c r="E1" s="208" t="s">
        <v>71</v>
      </c>
      <c r="F1" s="136"/>
      <c r="G1" s="136"/>
      <c r="H1" s="136"/>
      <c r="I1" s="137"/>
      <c r="J1" s="137"/>
      <c r="K1" s="137"/>
      <c r="L1" s="137"/>
      <c r="M1" s="137"/>
      <c r="N1" s="137"/>
      <c r="O1" s="137"/>
      <c r="P1" s="137"/>
      <c r="Q1" s="137"/>
      <c r="R1" s="137"/>
      <c r="S1" s="137"/>
    </row>
    <row r="2" spans="1:19" s="138" customFormat="1" ht="27.75" customHeight="1" thickBot="1" x14ac:dyDescent="0.3">
      <c r="A2" s="180"/>
      <c r="B2" s="139"/>
      <c r="C2" s="210" t="s">
        <v>22</v>
      </c>
      <c r="D2" s="210"/>
      <c r="E2" s="209"/>
      <c r="F2" s="140"/>
      <c r="G2" s="140"/>
      <c r="H2" s="141"/>
      <c r="I2" s="142"/>
      <c r="J2" s="142"/>
      <c r="K2" s="142"/>
      <c r="L2" s="142"/>
      <c r="M2" s="142"/>
      <c r="N2" s="142"/>
      <c r="O2" s="142"/>
      <c r="P2" s="142"/>
      <c r="Q2" s="142"/>
      <c r="R2" s="142"/>
      <c r="S2" s="142"/>
    </row>
    <row r="3" spans="1:19" ht="18.75" customHeight="1" x14ac:dyDescent="0.25">
      <c r="B3" s="211" t="s">
        <v>23</v>
      </c>
      <c r="C3" s="143" t="s">
        <v>24</v>
      </c>
      <c r="D3" s="213">
        <v>45162</v>
      </c>
      <c r="E3" s="214"/>
      <c r="F3" s="144"/>
      <c r="G3" s="144"/>
      <c r="H3" s="144"/>
    </row>
    <row r="4" spans="1:19" ht="18.75" customHeight="1" x14ac:dyDescent="0.25">
      <c r="B4" s="212"/>
      <c r="C4" s="146" t="s">
        <v>25</v>
      </c>
      <c r="D4" s="215">
        <v>45162</v>
      </c>
      <c r="E4" s="216"/>
      <c r="F4" s="144"/>
      <c r="G4" s="144"/>
      <c r="H4" s="144"/>
    </row>
    <row r="5" spans="1:19" ht="18.75" customHeight="1" x14ac:dyDescent="0.25">
      <c r="B5" s="147" t="s">
        <v>26</v>
      </c>
      <c r="C5" s="207" t="s">
        <v>27</v>
      </c>
      <c r="D5" s="202"/>
      <c r="E5" s="203"/>
      <c r="F5" s="148"/>
      <c r="G5" s="148"/>
      <c r="H5" s="148"/>
    </row>
    <row r="6" spans="1:19" ht="18.75" customHeight="1" x14ac:dyDescent="0.25">
      <c r="B6" s="147" t="s">
        <v>28</v>
      </c>
      <c r="C6" s="207" t="s">
        <v>72</v>
      </c>
      <c r="D6" s="202"/>
      <c r="E6" s="203"/>
      <c r="F6" s="148"/>
      <c r="G6" s="148"/>
      <c r="H6" s="148"/>
    </row>
    <row r="7" spans="1:19" ht="18.75" customHeight="1" x14ac:dyDescent="0.25">
      <c r="B7" s="147" t="s">
        <v>29</v>
      </c>
      <c r="C7" s="207" t="s">
        <v>30</v>
      </c>
      <c r="D7" s="202"/>
      <c r="E7" s="203"/>
      <c r="F7" s="149"/>
      <c r="G7" s="149"/>
      <c r="H7" s="149"/>
    </row>
    <row r="8" spans="1:19" ht="18.75" customHeight="1" x14ac:dyDescent="0.25">
      <c r="B8" s="147" t="s">
        <v>31</v>
      </c>
      <c r="C8" s="207" t="s">
        <v>73</v>
      </c>
      <c r="D8" s="202"/>
      <c r="E8" s="203"/>
      <c r="F8" s="149"/>
      <c r="G8" s="149"/>
      <c r="H8" s="149"/>
    </row>
    <row r="9" spans="1:19" ht="18.75" customHeight="1" x14ac:dyDescent="0.25">
      <c r="B9" s="147" t="s">
        <v>33</v>
      </c>
      <c r="C9" s="207" t="s">
        <v>32</v>
      </c>
      <c r="D9" s="202"/>
      <c r="E9" s="203"/>
      <c r="F9" s="149"/>
      <c r="G9" s="149"/>
      <c r="H9" s="149"/>
    </row>
    <row r="10" spans="1:19" ht="18.75" customHeight="1" x14ac:dyDescent="0.25">
      <c r="B10" s="147" t="s">
        <v>34</v>
      </c>
      <c r="C10" s="207" t="s">
        <v>74</v>
      </c>
      <c r="D10" s="202"/>
      <c r="E10" s="203"/>
      <c r="F10" s="148"/>
      <c r="G10" s="148"/>
      <c r="H10" s="148"/>
    </row>
    <row r="11" spans="1:19" ht="18.75" customHeight="1" x14ac:dyDescent="0.25">
      <c r="B11" s="147" t="s">
        <v>35</v>
      </c>
      <c r="C11" s="231" t="s">
        <v>75</v>
      </c>
      <c r="D11" s="232"/>
      <c r="E11" s="233"/>
      <c r="F11" s="149"/>
      <c r="G11" s="149"/>
      <c r="H11" s="149"/>
    </row>
    <row r="12" spans="1:19" ht="18.75" customHeight="1" thickBot="1" x14ac:dyDescent="0.3">
      <c r="B12" s="150" t="s">
        <v>36</v>
      </c>
      <c r="C12" s="197">
        <v>100000</v>
      </c>
      <c r="D12" s="198"/>
      <c r="E12" s="199"/>
      <c r="F12" s="151"/>
      <c r="G12" s="151"/>
      <c r="H12" s="151"/>
    </row>
    <row r="13" spans="1:19" ht="18.75" customHeight="1" thickBot="1" x14ac:dyDescent="0.3">
      <c r="B13" s="200" t="s">
        <v>37</v>
      </c>
      <c r="C13" s="152" t="s">
        <v>38</v>
      </c>
      <c r="D13" s="153" t="s">
        <v>39</v>
      </c>
      <c r="E13" s="154" t="s">
        <v>40</v>
      </c>
      <c r="F13" s="151"/>
      <c r="G13" s="151"/>
      <c r="H13" s="151"/>
    </row>
    <row r="14" spans="1:19" ht="18.75" customHeight="1" x14ac:dyDescent="0.25">
      <c r="B14" s="200"/>
      <c r="C14" s="155" t="s">
        <v>41</v>
      </c>
      <c r="D14" s="156" t="s">
        <v>76</v>
      </c>
      <c r="E14" s="157">
        <v>80000</v>
      </c>
      <c r="F14" s="158"/>
      <c r="G14" s="158"/>
      <c r="H14" s="158"/>
    </row>
    <row r="15" spans="1:19" ht="18.75" customHeight="1" x14ac:dyDescent="0.25">
      <c r="B15" s="200"/>
      <c r="C15" s="155" t="s">
        <v>77</v>
      </c>
      <c r="D15" s="156" t="s">
        <v>78</v>
      </c>
      <c r="E15" s="157">
        <v>0</v>
      </c>
      <c r="F15" s="158"/>
      <c r="G15" s="158"/>
      <c r="H15" s="158"/>
    </row>
    <row r="16" spans="1:19" ht="18.75" customHeight="1" x14ac:dyDescent="0.25">
      <c r="B16" s="200"/>
      <c r="C16" s="155" t="s">
        <v>77</v>
      </c>
      <c r="D16" s="156" t="s">
        <v>78</v>
      </c>
      <c r="E16" s="159"/>
      <c r="F16" s="158"/>
      <c r="G16" s="158"/>
      <c r="H16" s="158"/>
    </row>
    <row r="17" spans="1:8" ht="18.75" customHeight="1" x14ac:dyDescent="0.25">
      <c r="B17" s="147" t="s">
        <v>42</v>
      </c>
      <c r="C17" s="201">
        <f>SUM(E14:E16)</f>
        <v>80000</v>
      </c>
      <c r="D17" s="202"/>
      <c r="E17" s="203"/>
      <c r="F17" s="151"/>
      <c r="G17" s="151"/>
      <c r="H17" s="151"/>
    </row>
    <row r="18" spans="1:8" ht="18.75" customHeight="1" x14ac:dyDescent="0.25">
      <c r="B18" s="147" t="s">
        <v>43</v>
      </c>
      <c r="C18" s="204">
        <f>+C17/C12</f>
        <v>0.8</v>
      </c>
      <c r="D18" s="205"/>
      <c r="E18" s="206"/>
      <c r="F18" s="160"/>
      <c r="G18" s="160"/>
      <c r="H18" s="160"/>
    </row>
    <row r="19" spans="1:8" ht="18.75" customHeight="1" x14ac:dyDescent="0.25">
      <c r="B19" s="147" t="s">
        <v>44</v>
      </c>
      <c r="C19" s="207">
        <v>1</v>
      </c>
      <c r="D19" s="202"/>
      <c r="E19" s="203"/>
      <c r="F19" s="148"/>
      <c r="G19" s="148"/>
      <c r="H19" s="148"/>
    </row>
    <row r="20" spans="1:8" ht="18.75" customHeight="1" x14ac:dyDescent="0.25">
      <c r="B20" s="212" t="s">
        <v>45</v>
      </c>
      <c r="C20" s="161" t="s">
        <v>46</v>
      </c>
      <c r="D20" s="179"/>
      <c r="E20" s="162"/>
      <c r="F20" s="148"/>
      <c r="G20" s="148"/>
      <c r="H20" s="148"/>
    </row>
    <row r="21" spans="1:8" ht="18.75" customHeight="1" x14ac:dyDescent="0.25">
      <c r="B21" s="212"/>
      <c r="C21" s="161" t="s">
        <v>47</v>
      </c>
      <c r="D21" s="163" t="s">
        <v>48</v>
      </c>
      <c r="E21" s="162"/>
      <c r="F21" s="148"/>
      <c r="G21" s="148"/>
      <c r="H21" s="148"/>
    </row>
    <row r="22" spans="1:8" ht="18.75" customHeight="1" x14ac:dyDescent="0.25">
      <c r="B22" s="212"/>
      <c r="C22" s="161" t="s">
        <v>49</v>
      </c>
      <c r="D22" s="179"/>
      <c r="E22" s="162"/>
      <c r="F22" s="148"/>
      <c r="G22" s="148"/>
      <c r="H22" s="148"/>
    </row>
    <row r="23" spans="1:8" ht="18.75" customHeight="1" x14ac:dyDescent="0.25">
      <c r="B23" s="147" t="s">
        <v>50</v>
      </c>
      <c r="C23" s="185" t="s">
        <v>51</v>
      </c>
      <c r="D23" s="186"/>
      <c r="E23" s="187"/>
      <c r="F23" s="148"/>
      <c r="G23" s="148"/>
      <c r="H23" s="148"/>
    </row>
    <row r="24" spans="1:8" ht="18.75" customHeight="1" x14ac:dyDescent="0.25">
      <c r="B24" s="147" t="s">
        <v>52</v>
      </c>
      <c r="C24" s="185" t="s">
        <v>53</v>
      </c>
      <c r="D24" s="186"/>
      <c r="E24" s="187"/>
      <c r="F24" s="148"/>
      <c r="G24" s="148"/>
      <c r="H24" s="148"/>
    </row>
    <row r="25" spans="1:8" ht="18.75" customHeight="1" thickBot="1" x14ac:dyDescent="0.3">
      <c r="B25" s="164" t="s">
        <v>54</v>
      </c>
      <c r="C25" s="188">
        <v>4</v>
      </c>
      <c r="D25" s="189"/>
      <c r="E25" s="162" t="s">
        <v>55</v>
      </c>
      <c r="F25" s="148"/>
      <c r="G25" s="148"/>
      <c r="H25" s="148"/>
    </row>
    <row r="26" spans="1:8" ht="48.75" x14ac:dyDescent="0.25">
      <c r="A26" s="181" t="s">
        <v>79</v>
      </c>
      <c r="B26" s="182" t="s">
        <v>56</v>
      </c>
      <c r="C26" s="190" t="s">
        <v>80</v>
      </c>
      <c r="D26" s="191"/>
      <c r="E26" s="192"/>
      <c r="F26" s="148"/>
      <c r="G26" s="148"/>
      <c r="H26" s="148"/>
    </row>
    <row r="27" spans="1:8" ht="15.75" x14ac:dyDescent="0.25">
      <c r="B27" s="165" t="s">
        <v>57</v>
      </c>
      <c r="C27" s="193" t="s">
        <v>81</v>
      </c>
      <c r="D27" s="186"/>
      <c r="E27" s="187"/>
      <c r="F27" s="166"/>
      <c r="G27" s="166"/>
      <c r="H27" s="166"/>
    </row>
    <row r="28" spans="1:8" ht="33" x14ac:dyDescent="0.25">
      <c r="A28" s="181" t="s">
        <v>82</v>
      </c>
      <c r="B28" s="165" t="s">
        <v>58</v>
      </c>
      <c r="C28" s="194" t="s">
        <v>83</v>
      </c>
      <c r="D28" s="195"/>
      <c r="E28" s="196"/>
      <c r="F28" s="166"/>
      <c r="G28" s="166"/>
      <c r="H28" s="166"/>
    </row>
    <row r="29" spans="1:8" ht="64.5" x14ac:dyDescent="0.25">
      <c r="A29" s="181" t="s">
        <v>84</v>
      </c>
      <c r="B29" s="165" t="s">
        <v>59</v>
      </c>
      <c r="C29" s="193" t="s">
        <v>85</v>
      </c>
      <c r="D29" s="186"/>
      <c r="E29" s="187"/>
      <c r="F29" s="167"/>
      <c r="G29" s="167"/>
      <c r="H29" s="167"/>
    </row>
    <row r="30" spans="1:8" ht="15.75" x14ac:dyDescent="0.25">
      <c r="B30" s="217" t="s">
        <v>60</v>
      </c>
      <c r="C30" s="168" t="s">
        <v>61</v>
      </c>
      <c r="D30" s="169"/>
      <c r="E30" s="170"/>
      <c r="F30" s="171"/>
      <c r="G30" s="171"/>
      <c r="H30" s="171"/>
    </row>
    <row r="31" spans="1:8" ht="16.5" thickBot="1" x14ac:dyDescent="0.3">
      <c r="B31" s="218"/>
      <c r="C31" s="168" t="s">
        <v>62</v>
      </c>
      <c r="D31" s="172" t="s">
        <v>48</v>
      </c>
      <c r="E31" s="170"/>
      <c r="F31" s="171"/>
      <c r="G31" s="171"/>
      <c r="H31" s="171"/>
    </row>
    <row r="32" spans="1:8" ht="15.75" x14ac:dyDescent="0.25">
      <c r="B32" s="173" t="s">
        <v>86</v>
      </c>
      <c r="C32" s="219" t="s">
        <v>87</v>
      </c>
      <c r="D32" s="220"/>
      <c r="E32" s="221" t="s">
        <v>64</v>
      </c>
      <c r="F32" s="174"/>
      <c r="G32" s="174"/>
      <c r="H32" s="174"/>
    </row>
    <row r="33" spans="1:8" ht="126" customHeight="1" x14ac:dyDescent="0.25">
      <c r="A33" s="181" t="s">
        <v>88</v>
      </c>
      <c r="B33" s="175" t="s">
        <v>65</v>
      </c>
      <c r="C33" s="222" t="s">
        <v>89</v>
      </c>
      <c r="D33" s="223"/>
      <c r="E33" s="221"/>
      <c r="F33" s="176" t="s">
        <v>90</v>
      </c>
      <c r="G33" s="176"/>
      <c r="H33" s="176"/>
    </row>
    <row r="34" spans="1:8" ht="15.75" x14ac:dyDescent="0.25">
      <c r="B34" s="183" t="s">
        <v>63</v>
      </c>
      <c r="C34" s="224" t="s">
        <v>91</v>
      </c>
      <c r="D34" s="225"/>
      <c r="E34" s="226" t="s">
        <v>66</v>
      </c>
      <c r="F34" s="174"/>
      <c r="G34" s="174"/>
      <c r="H34" s="174"/>
    </row>
    <row r="35" spans="1:8" ht="70.5" customHeight="1" thickBot="1" x14ac:dyDescent="0.3">
      <c r="A35" s="181" t="s">
        <v>92</v>
      </c>
      <c r="B35" s="184" t="s">
        <v>67</v>
      </c>
      <c r="C35" s="228" t="s">
        <v>93</v>
      </c>
      <c r="D35" s="229"/>
      <c r="E35" s="227"/>
      <c r="F35" s="176"/>
      <c r="G35" s="176"/>
      <c r="H35" s="176"/>
    </row>
  </sheetData>
  <mergeCells count="33">
    <mergeCell ref="C10:E10"/>
    <mergeCell ref="C11:E11"/>
    <mergeCell ref="C5:E5"/>
    <mergeCell ref="C6:E6"/>
    <mergeCell ref="C7:E7"/>
    <mergeCell ref="C8:E8"/>
    <mergeCell ref="C9:E9"/>
    <mergeCell ref="C34:D34"/>
    <mergeCell ref="E34:E35"/>
    <mergeCell ref="C35:D35"/>
    <mergeCell ref="B20:B22"/>
    <mergeCell ref="C23:E23"/>
    <mergeCell ref="C29:E29"/>
    <mergeCell ref="B30:B31"/>
    <mergeCell ref="C32:D32"/>
    <mergeCell ref="E32:E33"/>
    <mergeCell ref="C33:D33"/>
    <mergeCell ref="E1:E2"/>
    <mergeCell ref="C2:D2"/>
    <mergeCell ref="B3:B4"/>
    <mergeCell ref="D3:E3"/>
    <mergeCell ref="D4:E4"/>
    <mergeCell ref="C1:D1"/>
    <mergeCell ref="C12:E12"/>
    <mergeCell ref="B13:B16"/>
    <mergeCell ref="C17:E17"/>
    <mergeCell ref="C18:E18"/>
    <mergeCell ref="C19:E19"/>
    <mergeCell ref="C24:E24"/>
    <mergeCell ref="C25:D25"/>
    <mergeCell ref="C26:E26"/>
    <mergeCell ref="C27:E27"/>
    <mergeCell ref="C28:E2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2EA15-3D59-4AAF-960E-01E33108C126}">
  <dimension ref="A1:Y33"/>
  <sheetViews>
    <sheetView tabSelected="1" workbookViewId="0">
      <selection activeCell="A6" sqref="A6"/>
    </sheetView>
  </sheetViews>
  <sheetFormatPr baseColWidth="10" defaultRowHeight="15" x14ac:dyDescent="0.25"/>
  <cols>
    <col min="1" max="1" width="13.28515625" customWidth="1"/>
    <col min="10" max="10" width="13.85546875" bestFit="1" customWidth="1"/>
    <col min="11" max="11" width="17" customWidth="1"/>
    <col min="12" max="12" width="14.28515625" customWidth="1"/>
    <col min="13" max="13" width="18.85546875" customWidth="1"/>
    <col min="14" max="14" width="14.5703125" customWidth="1"/>
    <col min="15" max="15" width="23" customWidth="1"/>
    <col min="16" max="16" width="16" customWidth="1"/>
    <col min="17" max="17" width="19.7109375" customWidth="1"/>
    <col min="18" max="18" width="15" customWidth="1"/>
    <col min="19" max="19" width="16.7109375" customWidth="1"/>
    <col min="20" max="20" width="13.85546875" customWidth="1"/>
    <col min="24" max="24" width="12.5703125" customWidth="1"/>
    <col min="25" max="25" width="13.42578125" customWidth="1"/>
  </cols>
  <sheetData>
    <row r="1" spans="1:25" ht="18" x14ac:dyDescent="0.25">
      <c r="A1" s="3"/>
      <c r="B1" s="4"/>
      <c r="C1" s="234" t="s">
        <v>20</v>
      </c>
      <c r="D1" s="235"/>
      <c r="E1" s="235"/>
      <c r="F1" s="235"/>
      <c r="G1" s="235"/>
      <c r="H1" s="235"/>
      <c r="I1" s="235"/>
      <c r="J1" s="235"/>
      <c r="K1" s="235"/>
      <c r="L1" s="236"/>
      <c r="M1" s="3"/>
      <c r="N1" s="6"/>
      <c r="O1" s="234" t="s">
        <v>20</v>
      </c>
      <c r="P1" s="235"/>
      <c r="Q1" s="235"/>
      <c r="R1" s="235"/>
      <c r="S1" s="235"/>
      <c r="T1" s="235"/>
      <c r="U1" s="235"/>
      <c r="V1" s="235"/>
      <c r="W1" s="235"/>
      <c r="X1" s="235"/>
      <c r="Y1" s="5"/>
    </row>
    <row r="2" spans="1:25" ht="18" x14ac:dyDescent="0.25">
      <c r="A2" s="8"/>
      <c r="B2" s="9"/>
      <c r="C2" s="237" t="s">
        <v>95</v>
      </c>
      <c r="D2" s="238"/>
      <c r="E2" s="238"/>
      <c r="F2" s="238"/>
      <c r="G2" s="238"/>
      <c r="H2" s="238"/>
      <c r="I2" s="238"/>
      <c r="J2" s="238"/>
      <c r="K2" s="238"/>
      <c r="L2" s="239"/>
      <c r="M2" s="8"/>
      <c r="N2" s="12"/>
      <c r="O2" s="240" t="str">
        <f>+C2</f>
        <v>EMPRESA ********</v>
      </c>
      <c r="P2" s="241"/>
      <c r="Q2" s="241"/>
      <c r="R2" s="241"/>
      <c r="S2" s="241"/>
      <c r="T2" s="241"/>
      <c r="U2" s="241"/>
      <c r="V2" s="241"/>
      <c r="W2" s="241"/>
      <c r="X2" s="241"/>
      <c r="Y2" s="11"/>
    </row>
    <row r="3" spans="1:25" ht="18" x14ac:dyDescent="0.25">
      <c r="A3" s="8"/>
      <c r="B3" s="9"/>
      <c r="C3" s="242" t="s">
        <v>94</v>
      </c>
      <c r="D3" s="243"/>
      <c r="E3" s="243"/>
      <c r="F3" s="243"/>
      <c r="G3" s="243"/>
      <c r="H3" s="243"/>
      <c r="I3" s="243"/>
      <c r="J3" s="243"/>
      <c r="K3" s="243"/>
      <c r="L3" s="244"/>
      <c r="M3" s="8"/>
      <c r="N3" s="12"/>
      <c r="O3" s="242" t="str">
        <f>+C3</f>
        <v>31 DE DICIEMBRE DEL 2023</v>
      </c>
      <c r="P3" s="243"/>
      <c r="Q3" s="243"/>
      <c r="R3" s="243"/>
      <c r="S3" s="243"/>
      <c r="T3" s="243"/>
      <c r="U3" s="243"/>
      <c r="V3" s="243"/>
      <c r="W3" s="243"/>
      <c r="X3" s="243"/>
      <c r="Y3" s="11"/>
    </row>
    <row r="4" spans="1:25" ht="18.75" thickBot="1" x14ac:dyDescent="0.3">
      <c r="A4" s="14"/>
      <c r="B4" s="15"/>
      <c r="C4" s="242" t="s">
        <v>0</v>
      </c>
      <c r="D4" s="243"/>
      <c r="E4" s="243"/>
      <c r="F4" s="243"/>
      <c r="G4" s="243"/>
      <c r="H4" s="243"/>
      <c r="I4" s="243"/>
      <c r="J4" s="243"/>
      <c r="K4" s="243"/>
      <c r="L4" s="244"/>
      <c r="M4" s="14"/>
      <c r="N4" s="17"/>
      <c r="O4" s="242" t="s">
        <v>0</v>
      </c>
      <c r="P4" s="243"/>
      <c r="Q4" s="243"/>
      <c r="R4" s="243"/>
      <c r="S4" s="243"/>
      <c r="T4" s="243"/>
      <c r="U4" s="243"/>
      <c r="V4" s="243"/>
      <c r="W4" s="243"/>
      <c r="X4" s="243"/>
      <c r="Y4" s="11"/>
    </row>
    <row r="5" spans="1:25" ht="18" x14ac:dyDescent="0.25">
      <c r="A5" s="8"/>
      <c r="B5" s="1"/>
      <c r="C5" s="238" t="s">
        <v>70</v>
      </c>
      <c r="D5" s="238"/>
      <c r="E5" s="238"/>
      <c r="F5" s="238"/>
      <c r="G5" s="238"/>
      <c r="H5" s="238"/>
      <c r="I5" s="238"/>
      <c r="J5" s="238"/>
      <c r="K5" s="238"/>
      <c r="L5" s="238"/>
      <c r="M5" s="8"/>
      <c r="N5" s="2"/>
      <c r="O5" s="241" t="str">
        <f>+C5</f>
        <v>Banco ******</v>
      </c>
      <c r="P5" s="241"/>
      <c r="Q5" s="241"/>
      <c r="R5" s="241"/>
      <c r="S5" s="241"/>
      <c r="T5" s="241"/>
      <c r="U5" s="241"/>
      <c r="V5" s="241"/>
      <c r="W5" s="241"/>
      <c r="X5" s="241"/>
      <c r="Y5" s="20"/>
    </row>
    <row r="6" spans="1:25" ht="15.75" x14ac:dyDescent="0.25">
      <c r="A6" s="8"/>
      <c r="B6" s="1"/>
      <c r="C6" s="7"/>
      <c r="D6" s="80"/>
      <c r="E6" s="81"/>
      <c r="F6" s="10"/>
      <c r="G6" s="7"/>
      <c r="H6" s="7"/>
      <c r="I6" s="19"/>
      <c r="J6" s="83"/>
      <c r="K6" s="84"/>
      <c r="L6" s="20"/>
      <c r="M6" s="8"/>
      <c r="N6" s="2"/>
      <c r="O6" s="7"/>
      <c r="P6" s="13"/>
      <c r="Q6" s="18"/>
      <c r="R6" s="21"/>
      <c r="S6" s="7"/>
      <c r="T6" s="10"/>
      <c r="U6" s="16"/>
      <c r="V6" s="22"/>
      <c r="W6" s="16"/>
      <c r="X6" s="22"/>
      <c r="Y6" s="20"/>
    </row>
    <row r="7" spans="1:25" ht="16.5" thickBot="1" x14ac:dyDescent="0.3">
      <c r="A7" s="23"/>
      <c r="B7" s="25"/>
      <c r="C7" s="24" t="s">
        <v>1</v>
      </c>
      <c r="D7" s="1"/>
      <c r="E7" s="133" t="s">
        <v>69</v>
      </c>
      <c r="F7" s="27"/>
      <c r="G7" s="25"/>
      <c r="H7" s="25"/>
      <c r="I7" s="28" t="s">
        <v>2</v>
      </c>
      <c r="J7" s="86">
        <v>45163</v>
      </c>
      <c r="K7" s="85"/>
      <c r="L7" s="29"/>
      <c r="M7" s="23"/>
      <c r="N7" s="25"/>
      <c r="O7" s="30" t="s">
        <v>1</v>
      </c>
      <c r="P7" s="31" t="str">
        <f>+E7</f>
        <v>K.B</v>
      </c>
      <c r="Q7" s="26"/>
      <c r="R7" s="32"/>
      <c r="S7" s="25"/>
      <c r="T7" s="27"/>
      <c r="U7" s="28" t="s">
        <v>2</v>
      </c>
      <c r="V7" s="34">
        <f>+J7</f>
        <v>45163</v>
      </c>
      <c r="W7" s="82"/>
      <c r="X7" s="25"/>
      <c r="Y7" s="35"/>
    </row>
    <row r="8" spans="1:25" ht="16.5" thickBot="1" x14ac:dyDescent="0.3">
      <c r="A8" s="23"/>
      <c r="B8" s="27"/>
      <c r="C8" s="24" t="s">
        <v>3</v>
      </c>
      <c r="D8" s="1"/>
      <c r="E8" s="134" t="s">
        <v>96</v>
      </c>
      <c r="F8" s="24"/>
      <c r="G8" s="25"/>
      <c r="H8" s="25"/>
      <c r="I8" s="36" t="s">
        <v>2</v>
      </c>
      <c r="J8" s="86">
        <f>+J7+7</f>
        <v>45170</v>
      </c>
      <c r="K8" s="85"/>
      <c r="L8" s="29"/>
      <c r="M8" s="23"/>
      <c r="N8" s="27"/>
      <c r="O8" s="30" t="s">
        <v>3</v>
      </c>
      <c r="P8" s="37" t="str">
        <f>+E8</f>
        <v>E.P.</v>
      </c>
      <c r="Q8" s="28"/>
      <c r="R8" s="38"/>
      <c r="S8" s="25"/>
      <c r="T8" s="27"/>
      <c r="U8" s="28" t="s">
        <v>2</v>
      </c>
      <c r="V8" s="34">
        <f>+J8</f>
        <v>45170</v>
      </c>
      <c r="W8" s="87"/>
      <c r="X8" s="27"/>
      <c r="Y8" s="29"/>
    </row>
    <row r="9" spans="1:25" ht="15.75" thickBot="1" x14ac:dyDescent="0.3">
      <c r="A9" s="39"/>
      <c r="B9" s="40"/>
      <c r="C9" s="41"/>
      <c r="D9" s="40"/>
      <c r="E9" s="42"/>
      <c r="F9" s="43"/>
      <c r="G9" s="44"/>
      <c r="H9" s="45"/>
      <c r="I9" s="46"/>
      <c r="J9" s="47"/>
      <c r="K9" s="48"/>
      <c r="L9" s="49"/>
      <c r="M9" s="39"/>
      <c r="N9" s="50"/>
      <c r="O9" s="41"/>
      <c r="P9" s="50"/>
      <c r="Q9" s="42"/>
      <c r="R9" s="51"/>
      <c r="S9" s="44"/>
      <c r="T9" s="52"/>
      <c r="U9" s="48"/>
      <c r="V9" s="53"/>
      <c r="W9" s="48"/>
      <c r="X9" s="54"/>
      <c r="Y9" s="55"/>
    </row>
    <row r="10" spans="1:25" ht="15.75" thickBot="1" x14ac:dyDescent="0.3">
      <c r="A10" s="56"/>
      <c r="B10" s="57"/>
      <c r="C10" s="57"/>
      <c r="D10" s="57"/>
      <c r="E10" s="57"/>
      <c r="F10" s="57"/>
      <c r="G10" s="57"/>
      <c r="H10" s="57"/>
      <c r="I10" s="57"/>
      <c r="J10" s="57"/>
      <c r="K10" s="57"/>
      <c r="L10" s="58"/>
      <c r="M10" s="56"/>
      <c r="N10" s="59"/>
      <c r="O10" s="57"/>
      <c r="P10" s="59"/>
      <c r="Q10" s="57"/>
      <c r="R10" s="60"/>
      <c r="S10" s="57"/>
      <c r="T10" s="57"/>
      <c r="U10" s="57"/>
      <c r="V10" s="59"/>
      <c r="W10" s="61"/>
      <c r="X10" s="62"/>
      <c r="Y10" s="58"/>
    </row>
    <row r="11" spans="1:25" x14ac:dyDescent="0.25">
      <c r="A11" s="63" t="s">
        <v>4</v>
      </c>
      <c r="B11" s="64"/>
      <c r="C11" s="65" t="s">
        <v>4</v>
      </c>
      <c r="D11" s="64"/>
      <c r="E11" s="65" t="s">
        <v>4</v>
      </c>
      <c r="F11" s="64"/>
      <c r="G11" s="65" t="s">
        <v>4</v>
      </c>
      <c r="H11" s="64"/>
      <c r="I11" s="65" t="s">
        <v>4</v>
      </c>
      <c r="J11" s="64"/>
      <c r="K11" s="65" t="s">
        <v>4</v>
      </c>
      <c r="L11" s="66"/>
      <c r="M11" s="63" t="s">
        <v>4</v>
      </c>
      <c r="N11" s="67"/>
      <c r="O11" s="65" t="s">
        <v>4</v>
      </c>
      <c r="P11" s="67"/>
      <c r="Q11" s="64" t="s">
        <v>4</v>
      </c>
      <c r="R11" s="67"/>
      <c r="S11" s="65" t="s">
        <v>4</v>
      </c>
      <c r="T11" s="64"/>
      <c r="U11" s="65" t="s">
        <v>4</v>
      </c>
      <c r="V11" s="64"/>
      <c r="W11" s="65" t="s">
        <v>4</v>
      </c>
      <c r="X11" s="66"/>
      <c r="Y11" s="79">
        <f>+B11+D11+F11+H11+J11+L11+N11+P11+R11+T11+V11+X11</f>
        <v>0</v>
      </c>
    </row>
    <row r="12" spans="1:25" ht="15.75" thickBot="1" x14ac:dyDescent="0.3">
      <c r="A12" s="63" t="s">
        <v>5</v>
      </c>
      <c r="B12" s="64"/>
      <c r="C12" s="65" t="s">
        <v>5</v>
      </c>
      <c r="D12" s="64"/>
      <c r="E12" s="65" t="s">
        <v>5</v>
      </c>
      <c r="F12" s="64"/>
      <c r="G12" s="65" t="s">
        <v>5</v>
      </c>
      <c r="H12" s="64"/>
      <c r="I12" s="65" t="s">
        <v>5</v>
      </c>
      <c r="J12" s="64"/>
      <c r="K12" s="65" t="s">
        <v>5</v>
      </c>
      <c r="L12" s="66"/>
      <c r="M12" s="63" t="s">
        <v>5</v>
      </c>
      <c r="N12" s="67"/>
      <c r="O12" s="65" t="s">
        <v>5</v>
      </c>
      <c r="P12" s="67"/>
      <c r="Q12" s="65" t="s">
        <v>5</v>
      </c>
      <c r="R12" s="67"/>
      <c r="S12" s="64" t="s">
        <v>5</v>
      </c>
      <c r="T12" s="64"/>
      <c r="U12" s="65" t="s">
        <v>5</v>
      </c>
      <c r="V12" s="64"/>
      <c r="W12" s="65" t="s">
        <v>5</v>
      </c>
      <c r="X12" s="66"/>
      <c r="Y12" s="68">
        <f>+B12+D12+F12+H12+J12+L12+N12+P12+R12+T12+V12+X12</f>
        <v>0</v>
      </c>
    </row>
    <row r="13" spans="1:25" ht="15.75" thickBot="1" x14ac:dyDescent="0.3">
      <c r="A13" s="23" t="s">
        <v>6</v>
      </c>
      <c r="B13" s="70">
        <f>SUM(B17:B34)</f>
        <v>0</v>
      </c>
      <c r="C13" s="25" t="s">
        <v>6</v>
      </c>
      <c r="D13" s="70">
        <f>SUM(D17:D33)</f>
        <v>0</v>
      </c>
      <c r="E13" s="25" t="s">
        <v>6</v>
      </c>
      <c r="F13" s="69">
        <f>SUM(F17:F33)</f>
        <v>0</v>
      </c>
      <c r="G13" s="25" t="s">
        <v>6</v>
      </c>
      <c r="H13" s="70">
        <f>SUM(H17:H33)</f>
        <v>0</v>
      </c>
      <c r="I13" s="25" t="s">
        <v>6</v>
      </c>
      <c r="J13" s="69">
        <f>SUM(J17:J33)</f>
        <v>0</v>
      </c>
      <c r="K13" s="25" t="s">
        <v>6</v>
      </c>
      <c r="L13" s="70">
        <f>SUM(L17:L33)</f>
        <v>0</v>
      </c>
      <c r="M13" s="23" t="s">
        <v>6</v>
      </c>
      <c r="N13" s="70">
        <f>SUM(N17:N33)</f>
        <v>0</v>
      </c>
      <c r="O13" s="71" t="s">
        <v>6</v>
      </c>
      <c r="P13" s="70">
        <f>SUM(P17:P33)</f>
        <v>0</v>
      </c>
      <c r="Q13" s="71" t="s">
        <v>6</v>
      </c>
      <c r="R13" s="70">
        <f>SUM(R17:R33)</f>
        <v>0</v>
      </c>
      <c r="S13" s="27" t="s">
        <v>6</v>
      </c>
      <c r="T13" s="69">
        <f>SUM(T17:T37)</f>
        <v>0</v>
      </c>
      <c r="U13" s="27" t="s">
        <v>6</v>
      </c>
      <c r="V13" s="69">
        <f>SUM(V17:V33)</f>
        <v>0</v>
      </c>
      <c r="W13" s="27" t="s">
        <v>6</v>
      </c>
      <c r="X13" s="69">
        <f>SUM(X17:X36)</f>
        <v>0</v>
      </c>
      <c r="Y13" s="72">
        <f>+B13+D13+F13+H13+J13+L13+N13+P13+R13+T13+V13+X13</f>
        <v>0</v>
      </c>
    </row>
    <row r="14" spans="1:25" ht="15.75" thickBot="1" x14ac:dyDescent="0.3">
      <c r="A14" s="126" t="s">
        <v>7</v>
      </c>
      <c r="B14" s="127">
        <f>+B11+B12-B13</f>
        <v>0</v>
      </c>
      <c r="C14" s="128" t="s">
        <v>7</v>
      </c>
      <c r="D14" s="127">
        <f>+D11+D12-D13</f>
        <v>0</v>
      </c>
      <c r="E14" s="128" t="s">
        <v>7</v>
      </c>
      <c r="F14" s="127">
        <f>+F11+F12-F13</f>
        <v>0</v>
      </c>
      <c r="G14" s="128" t="s">
        <v>7</v>
      </c>
      <c r="H14" s="127">
        <f>+H11+H12-H13</f>
        <v>0</v>
      </c>
      <c r="I14" s="128" t="s">
        <v>7</v>
      </c>
      <c r="J14" s="73">
        <f>+J11+J12-J13</f>
        <v>0</v>
      </c>
      <c r="K14" s="128" t="s">
        <v>7</v>
      </c>
      <c r="L14" s="73">
        <f>+L11+L12-L13</f>
        <v>0</v>
      </c>
      <c r="M14" s="126" t="s">
        <v>7</v>
      </c>
      <c r="N14" s="73">
        <f>+N11+N12-N13</f>
        <v>0</v>
      </c>
      <c r="O14" s="129" t="s">
        <v>7</v>
      </c>
      <c r="P14" s="73">
        <f>+P11+P12-P13</f>
        <v>0</v>
      </c>
      <c r="Q14" s="129" t="s">
        <v>7</v>
      </c>
      <c r="R14" s="73">
        <f>+R11+R12-R13</f>
        <v>0</v>
      </c>
      <c r="S14" s="130" t="s">
        <v>7</v>
      </c>
      <c r="T14" s="127">
        <f>+T11+T12-T13</f>
        <v>0</v>
      </c>
      <c r="U14" s="130" t="s">
        <v>7</v>
      </c>
      <c r="V14" s="127">
        <f>+V11+V12-V13</f>
        <v>0</v>
      </c>
      <c r="W14" s="130" t="s">
        <v>7</v>
      </c>
      <c r="X14" s="131">
        <f>+X11+X12-X13</f>
        <v>0</v>
      </c>
      <c r="Y14" s="132">
        <f>+B14+D14+F14+H14+J14+L14+N14+P14+R14+T14+V14+X14</f>
        <v>0</v>
      </c>
    </row>
    <row r="15" spans="1:25" ht="15.75" thickBot="1" x14ac:dyDescent="0.3">
      <c r="A15" s="23"/>
      <c r="B15" s="27"/>
      <c r="C15" s="25"/>
      <c r="D15" s="27"/>
      <c r="E15" s="25"/>
      <c r="F15" s="27"/>
      <c r="G15" s="25"/>
      <c r="H15" s="25"/>
      <c r="I15" s="25"/>
      <c r="J15" s="27"/>
      <c r="K15" s="25"/>
      <c r="L15" s="29"/>
      <c r="M15" s="23"/>
      <c r="N15" s="74"/>
      <c r="O15" s="75"/>
      <c r="P15" s="74"/>
      <c r="Q15" s="75"/>
      <c r="R15" s="76"/>
      <c r="S15" s="25"/>
      <c r="T15" s="27"/>
      <c r="U15" s="25"/>
      <c r="V15" s="33"/>
      <c r="W15" s="25"/>
      <c r="X15" s="77"/>
      <c r="Y15" s="78"/>
    </row>
    <row r="16" spans="1:25" ht="15.75" thickBot="1" x14ac:dyDescent="0.3">
      <c r="A16" s="245" t="s">
        <v>8</v>
      </c>
      <c r="B16" s="246"/>
      <c r="C16" s="245" t="s">
        <v>9</v>
      </c>
      <c r="D16" s="246"/>
      <c r="E16" s="247" t="s">
        <v>10</v>
      </c>
      <c r="F16" s="248"/>
      <c r="G16" s="247" t="s">
        <v>11</v>
      </c>
      <c r="H16" s="248"/>
      <c r="I16" s="247" t="s">
        <v>12</v>
      </c>
      <c r="J16" s="248"/>
      <c r="K16" s="247" t="s">
        <v>13</v>
      </c>
      <c r="L16" s="248"/>
      <c r="M16" s="247" t="s">
        <v>14</v>
      </c>
      <c r="N16" s="248"/>
      <c r="O16" s="247" t="s">
        <v>15</v>
      </c>
      <c r="P16" s="248"/>
      <c r="Q16" s="247" t="s">
        <v>16</v>
      </c>
      <c r="R16" s="248"/>
      <c r="S16" s="247" t="s">
        <v>17</v>
      </c>
      <c r="T16" s="248"/>
      <c r="U16" s="249" t="s">
        <v>18</v>
      </c>
      <c r="V16" s="248"/>
      <c r="W16" s="249" t="s">
        <v>19</v>
      </c>
      <c r="X16" s="248"/>
      <c r="Y16" s="88"/>
    </row>
    <row r="17" spans="1:25" x14ac:dyDescent="0.25">
      <c r="A17" s="98" t="s">
        <v>68</v>
      </c>
      <c r="B17" s="125"/>
      <c r="C17" s="98"/>
      <c r="D17" s="99"/>
      <c r="E17" s="98" t="s">
        <v>68</v>
      </c>
      <c r="F17" s="103"/>
      <c r="G17" s="98" t="s">
        <v>68</v>
      </c>
      <c r="H17" s="105"/>
      <c r="I17" s="98" t="s">
        <v>68</v>
      </c>
      <c r="J17" s="112"/>
      <c r="K17" s="98" t="s">
        <v>68</v>
      </c>
      <c r="L17" s="94"/>
      <c r="M17" s="98" t="s">
        <v>68</v>
      </c>
      <c r="N17" s="94"/>
      <c r="O17" s="98" t="s">
        <v>68</v>
      </c>
      <c r="P17" s="115"/>
      <c r="Q17" s="98" t="s">
        <v>68</v>
      </c>
      <c r="R17" s="94"/>
      <c r="S17" s="98" t="s">
        <v>68</v>
      </c>
      <c r="T17" s="94"/>
      <c r="U17" s="98" t="s">
        <v>68</v>
      </c>
      <c r="V17" s="94"/>
      <c r="W17" s="98" t="s">
        <v>68</v>
      </c>
      <c r="X17" s="94"/>
      <c r="Y17" s="89"/>
    </row>
    <row r="18" spans="1:25" x14ac:dyDescent="0.25">
      <c r="A18" s="93"/>
      <c r="B18" s="124"/>
      <c r="C18" s="93"/>
      <c r="D18" s="100"/>
      <c r="E18" s="93"/>
      <c r="F18" s="103"/>
      <c r="G18" s="93"/>
      <c r="H18" s="105"/>
      <c r="I18" s="93"/>
      <c r="J18" s="112"/>
      <c r="K18" s="93"/>
      <c r="L18" s="95"/>
      <c r="M18" s="93"/>
      <c r="N18" s="95"/>
      <c r="O18" s="93"/>
      <c r="P18" s="116"/>
      <c r="Q18" s="93"/>
      <c r="R18" s="95"/>
      <c r="S18" s="93"/>
      <c r="T18" s="118"/>
      <c r="U18" s="91"/>
      <c r="V18" s="118"/>
      <c r="W18" s="91"/>
      <c r="X18" s="118"/>
      <c r="Y18" s="90"/>
    </row>
    <row r="19" spans="1:25" x14ac:dyDescent="0.25">
      <c r="A19" s="93"/>
      <c r="B19" s="94"/>
      <c r="C19" s="101"/>
      <c r="D19" s="100"/>
      <c r="E19" s="101"/>
      <c r="F19" s="103"/>
      <c r="G19" s="106"/>
      <c r="H19" s="105"/>
      <c r="I19" s="113"/>
      <c r="J19" s="112"/>
      <c r="K19" s="114"/>
      <c r="L19" s="95"/>
      <c r="M19" s="114"/>
      <c r="N19" s="95"/>
      <c r="O19" s="114"/>
      <c r="P19" s="116"/>
      <c r="Q19" s="114"/>
      <c r="R19" s="95"/>
      <c r="S19" s="119"/>
      <c r="T19" s="118"/>
      <c r="U19" s="117"/>
      <c r="V19" s="118"/>
      <c r="W19" s="117"/>
      <c r="X19" s="118"/>
      <c r="Y19" s="90"/>
    </row>
    <row r="20" spans="1:25" x14ac:dyDescent="0.25">
      <c r="A20" s="93"/>
      <c r="B20" s="94"/>
      <c r="C20" s="101"/>
      <c r="D20" s="100"/>
      <c r="E20" s="101"/>
      <c r="F20" s="103"/>
      <c r="G20" s="107"/>
      <c r="H20" s="105"/>
      <c r="I20" s="107"/>
      <c r="J20" s="112"/>
      <c r="K20" s="114"/>
      <c r="L20" s="95"/>
      <c r="M20" s="114"/>
      <c r="N20" s="95"/>
      <c r="O20" s="114"/>
      <c r="P20" s="116"/>
      <c r="Q20" s="114"/>
      <c r="R20" s="95"/>
      <c r="S20" s="119"/>
      <c r="T20" s="118"/>
      <c r="U20" s="117"/>
      <c r="V20" s="118"/>
      <c r="W20" s="117"/>
      <c r="X20" s="118"/>
      <c r="Y20" s="90"/>
    </row>
    <row r="21" spans="1:25" x14ac:dyDescent="0.25">
      <c r="A21" s="93"/>
      <c r="B21" s="94"/>
      <c r="C21" s="101"/>
      <c r="D21" s="100"/>
      <c r="E21" s="101"/>
      <c r="F21" s="103"/>
      <c r="G21" s="107"/>
      <c r="H21" s="108"/>
      <c r="I21" s="107"/>
      <c r="J21" s="112"/>
      <c r="K21" s="114"/>
      <c r="L21" s="95"/>
      <c r="M21" s="114"/>
      <c r="N21" s="95"/>
      <c r="O21" s="114"/>
      <c r="P21" s="116"/>
      <c r="Q21" s="114"/>
      <c r="R21" s="95"/>
      <c r="S21" s="119"/>
      <c r="T21" s="118"/>
      <c r="U21" s="117"/>
      <c r="V21" s="118"/>
      <c r="W21" s="117"/>
      <c r="X21" s="118"/>
      <c r="Y21" s="90"/>
    </row>
    <row r="22" spans="1:25" x14ac:dyDescent="0.25">
      <c r="A22" s="93"/>
      <c r="B22" s="95"/>
      <c r="C22" s="101"/>
      <c r="D22" s="102"/>
      <c r="E22" s="101"/>
      <c r="F22" s="103"/>
      <c r="G22" s="107"/>
      <c r="H22" s="105"/>
      <c r="I22" s="107"/>
      <c r="J22" s="112"/>
      <c r="K22" s="114"/>
      <c r="L22" s="95"/>
      <c r="M22" s="114"/>
      <c r="N22" s="95"/>
      <c r="O22" s="107"/>
      <c r="P22" s="116"/>
      <c r="Q22" s="114"/>
      <c r="R22" s="95"/>
      <c r="S22" s="119"/>
      <c r="T22" s="118"/>
      <c r="U22" s="117"/>
      <c r="V22" s="118"/>
      <c r="W22" s="117"/>
      <c r="X22" s="118"/>
      <c r="Y22" s="90"/>
    </row>
    <row r="23" spans="1:25" x14ac:dyDescent="0.25">
      <c r="A23" s="93"/>
      <c r="B23" s="95"/>
      <c r="C23" s="101"/>
      <c r="D23" s="102"/>
      <c r="E23" s="101"/>
      <c r="F23" s="103"/>
      <c r="G23" s="107"/>
      <c r="H23" s="105"/>
      <c r="I23" s="107"/>
      <c r="J23" s="112"/>
      <c r="K23" s="114"/>
      <c r="L23" s="95"/>
      <c r="M23" s="114"/>
      <c r="N23" s="95"/>
      <c r="O23" s="114"/>
      <c r="P23" s="116"/>
      <c r="Q23" s="114"/>
      <c r="R23" s="95"/>
      <c r="S23" s="119"/>
      <c r="T23" s="118"/>
      <c r="U23" s="117"/>
      <c r="V23" s="118"/>
      <c r="W23" s="117"/>
      <c r="X23" s="118"/>
      <c r="Y23" s="90"/>
    </row>
    <row r="24" spans="1:25" x14ac:dyDescent="0.25">
      <c r="A24" s="93"/>
      <c r="B24" s="95"/>
      <c r="C24" s="101"/>
      <c r="D24" s="103"/>
      <c r="E24" s="101"/>
      <c r="F24" s="103"/>
      <c r="G24" s="109"/>
      <c r="H24" s="110"/>
      <c r="I24" s="107"/>
      <c r="J24" s="102"/>
      <c r="K24" s="114"/>
      <c r="L24" s="103"/>
      <c r="M24" s="114"/>
      <c r="N24" s="103"/>
      <c r="O24" s="114"/>
      <c r="P24" s="110"/>
      <c r="Q24" s="114"/>
      <c r="R24" s="103"/>
      <c r="S24" s="119"/>
      <c r="T24" s="118"/>
      <c r="U24" s="117"/>
      <c r="V24" s="118"/>
      <c r="W24" s="117"/>
      <c r="X24" s="118"/>
      <c r="Y24" s="90"/>
    </row>
    <row r="25" spans="1:25" x14ac:dyDescent="0.25">
      <c r="A25" s="93"/>
      <c r="B25" s="95"/>
      <c r="C25" s="101"/>
      <c r="D25" s="103"/>
      <c r="E25" s="101"/>
      <c r="F25" s="103"/>
      <c r="G25" s="109"/>
      <c r="H25" s="110"/>
      <c r="I25" s="101"/>
      <c r="J25" s="103"/>
      <c r="K25" s="101"/>
      <c r="L25" s="103"/>
      <c r="M25" s="101"/>
      <c r="N25" s="103"/>
      <c r="O25" s="101"/>
      <c r="P25" s="103"/>
      <c r="Q25" s="101"/>
      <c r="R25" s="103"/>
      <c r="S25" s="101"/>
      <c r="T25" s="120"/>
      <c r="U25" s="92"/>
      <c r="V25" s="120"/>
      <c r="W25" s="92"/>
      <c r="X25" s="120"/>
      <c r="Y25" s="90"/>
    </row>
    <row r="26" spans="1:25" x14ac:dyDescent="0.25">
      <c r="A26" s="93"/>
      <c r="B26" s="95"/>
      <c r="C26" s="101"/>
      <c r="D26" s="104"/>
      <c r="E26" s="101"/>
      <c r="F26" s="104"/>
      <c r="G26" s="109"/>
      <c r="H26" s="111"/>
      <c r="I26" s="101"/>
      <c r="J26" s="103"/>
      <c r="K26" s="101"/>
      <c r="L26" s="103"/>
      <c r="M26" s="101"/>
      <c r="N26" s="103"/>
      <c r="O26" s="101"/>
      <c r="P26" s="103"/>
      <c r="Q26" s="101"/>
      <c r="R26" s="103"/>
      <c r="S26" s="101"/>
      <c r="T26" s="120"/>
      <c r="U26" s="92"/>
      <c r="V26" s="120"/>
      <c r="W26" s="92"/>
      <c r="X26" s="120"/>
      <c r="Y26" s="90"/>
    </row>
    <row r="27" spans="1:25" x14ac:dyDescent="0.25">
      <c r="A27" s="93"/>
      <c r="B27" s="95"/>
      <c r="C27" s="101"/>
      <c r="D27" s="103"/>
      <c r="E27" s="101"/>
      <c r="F27" s="103"/>
      <c r="G27" s="101"/>
      <c r="H27" s="103"/>
      <c r="I27" s="101"/>
      <c r="J27" s="104"/>
      <c r="K27" s="101"/>
      <c r="L27" s="104"/>
      <c r="M27" s="101"/>
      <c r="N27" s="104"/>
      <c r="O27" s="101"/>
      <c r="P27" s="104"/>
      <c r="Q27" s="101"/>
      <c r="R27" s="104"/>
      <c r="S27" s="101"/>
      <c r="T27" s="121"/>
      <c r="U27" s="92"/>
      <c r="V27" s="121"/>
      <c r="W27" s="92"/>
      <c r="X27" s="121"/>
      <c r="Y27" s="90"/>
    </row>
    <row r="28" spans="1:25" x14ac:dyDescent="0.25">
      <c r="A28" s="93"/>
      <c r="B28" s="95"/>
      <c r="C28" s="101"/>
      <c r="D28" s="103"/>
      <c r="E28" s="101"/>
      <c r="F28" s="103"/>
      <c r="G28" s="101"/>
      <c r="H28" s="103"/>
      <c r="I28" s="101"/>
      <c r="J28" s="104"/>
      <c r="K28" s="101"/>
      <c r="L28" s="104"/>
      <c r="M28" s="101"/>
      <c r="N28" s="104"/>
      <c r="O28" s="101"/>
      <c r="P28" s="104"/>
      <c r="Q28" s="101"/>
      <c r="R28" s="104"/>
      <c r="S28" s="101"/>
      <c r="T28" s="121"/>
      <c r="U28" s="92"/>
      <c r="V28" s="121"/>
      <c r="W28" s="92"/>
      <c r="X28" s="121"/>
      <c r="Y28" s="90"/>
    </row>
    <row r="29" spans="1:25" x14ac:dyDescent="0.25">
      <c r="A29" s="93"/>
      <c r="B29" s="95"/>
      <c r="C29" s="101"/>
      <c r="D29" s="103"/>
      <c r="E29" s="101"/>
      <c r="F29" s="103"/>
      <c r="G29" s="101"/>
      <c r="H29" s="103"/>
      <c r="I29" s="101"/>
      <c r="J29" s="103"/>
      <c r="K29" s="101"/>
      <c r="L29" s="103"/>
      <c r="M29" s="101"/>
      <c r="N29" s="103"/>
      <c r="O29" s="101"/>
      <c r="P29" s="103"/>
      <c r="Q29" s="101"/>
      <c r="R29" s="103"/>
      <c r="S29" s="101"/>
      <c r="T29" s="120"/>
      <c r="U29" s="92"/>
      <c r="V29" s="120"/>
      <c r="W29" s="92"/>
      <c r="X29" s="120"/>
      <c r="Y29" s="90"/>
    </row>
    <row r="30" spans="1:25" x14ac:dyDescent="0.25">
      <c r="A30" s="93"/>
      <c r="B30" s="95"/>
      <c r="C30" s="101"/>
      <c r="D30" s="104"/>
      <c r="E30" s="101"/>
      <c r="F30" s="104"/>
      <c r="G30" s="101"/>
      <c r="H30" s="104"/>
      <c r="I30" s="101"/>
      <c r="J30" s="103"/>
      <c r="K30" s="101"/>
      <c r="L30" s="103"/>
      <c r="M30" s="101"/>
      <c r="N30" s="103"/>
      <c r="O30" s="101"/>
      <c r="P30" s="103"/>
      <c r="Q30" s="101"/>
      <c r="R30" s="103"/>
      <c r="S30" s="101"/>
      <c r="T30" s="120"/>
      <c r="U30" s="92"/>
      <c r="V30" s="120"/>
      <c r="W30" s="92"/>
      <c r="X30" s="120"/>
      <c r="Y30" s="90"/>
    </row>
    <row r="31" spans="1:25" x14ac:dyDescent="0.25">
      <c r="A31" s="93"/>
      <c r="B31" s="95"/>
      <c r="C31" s="101"/>
      <c r="D31" s="103"/>
      <c r="E31" s="101"/>
      <c r="F31" s="103"/>
      <c r="G31" s="101"/>
      <c r="H31" s="103"/>
      <c r="I31" s="101"/>
      <c r="J31" s="104"/>
      <c r="K31" s="101"/>
      <c r="L31" s="104"/>
      <c r="M31" s="101"/>
      <c r="N31" s="104"/>
      <c r="O31" s="101"/>
      <c r="P31" s="104"/>
      <c r="Q31" s="101"/>
      <c r="R31" s="104"/>
      <c r="S31" s="101"/>
      <c r="T31" s="121"/>
      <c r="U31" s="92"/>
      <c r="V31" s="121"/>
      <c r="W31" s="92"/>
      <c r="X31" s="121"/>
      <c r="Y31" s="90"/>
    </row>
    <row r="32" spans="1:25" x14ac:dyDescent="0.25">
      <c r="A32" s="93"/>
      <c r="B32" s="95"/>
      <c r="C32" s="101"/>
      <c r="D32" s="103"/>
      <c r="E32" s="101"/>
      <c r="F32" s="103"/>
      <c r="G32" s="101"/>
      <c r="H32" s="103"/>
      <c r="I32" s="101"/>
      <c r="J32" s="104"/>
      <c r="K32" s="101"/>
      <c r="L32" s="104"/>
      <c r="M32" s="101"/>
      <c r="N32" s="104"/>
      <c r="O32" s="101"/>
      <c r="P32" s="104"/>
      <c r="Q32" s="101"/>
      <c r="R32" s="104"/>
      <c r="S32" s="101"/>
      <c r="T32" s="121"/>
      <c r="U32" s="92"/>
      <c r="V32" s="121"/>
      <c r="W32" s="92"/>
      <c r="X32" s="121"/>
      <c r="Y32" s="90"/>
    </row>
    <row r="33" spans="1:25" ht="15.75" thickBot="1" x14ac:dyDescent="0.3">
      <c r="A33" s="96"/>
      <c r="B33" s="97"/>
      <c r="C33" s="96"/>
      <c r="D33" s="97"/>
      <c r="E33" s="96"/>
      <c r="F33" s="97"/>
      <c r="G33" s="96"/>
      <c r="H33" s="97"/>
      <c r="I33" s="96"/>
      <c r="J33" s="97"/>
      <c r="K33" s="96"/>
      <c r="L33" s="97"/>
      <c r="M33" s="96"/>
      <c r="N33" s="97"/>
      <c r="O33" s="96"/>
      <c r="P33" s="97"/>
      <c r="Q33" s="96"/>
      <c r="R33" s="97"/>
      <c r="S33" s="96"/>
      <c r="T33" s="122"/>
      <c r="U33" s="123"/>
      <c r="V33" s="122"/>
      <c r="W33" s="123"/>
      <c r="X33" s="122"/>
      <c r="Y33" s="90"/>
    </row>
  </sheetData>
  <mergeCells count="22">
    <mergeCell ref="W16:X16"/>
    <mergeCell ref="C4:L4"/>
    <mergeCell ref="O4:X4"/>
    <mergeCell ref="C5:L5"/>
    <mergeCell ref="O5:X5"/>
    <mergeCell ref="K16:L16"/>
    <mergeCell ref="M16:N16"/>
    <mergeCell ref="O16:P16"/>
    <mergeCell ref="Q16:R16"/>
    <mergeCell ref="S16:T16"/>
    <mergeCell ref="U16:V16"/>
    <mergeCell ref="A16:B16"/>
    <mergeCell ref="C16:D16"/>
    <mergeCell ref="E16:F16"/>
    <mergeCell ref="G16:H16"/>
    <mergeCell ref="I16:J16"/>
    <mergeCell ref="C1:L1"/>
    <mergeCell ref="O1:X1"/>
    <mergeCell ref="C2:L2"/>
    <mergeCell ref="O2:X2"/>
    <mergeCell ref="C3:L3"/>
    <mergeCell ref="O3:X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P-101a</vt:lpstr>
      <vt:lpstr>101a-1</vt:lpstr>
      <vt:lpstr>BANCO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cp:lastPrinted>2019-02-08T20:12:43Z</cp:lastPrinted>
  <dcterms:created xsi:type="dcterms:W3CDTF">2015-11-13T19:19:21Z</dcterms:created>
  <dcterms:modified xsi:type="dcterms:W3CDTF">2023-08-25T14:48:52Z</dcterms:modified>
</cp:coreProperties>
</file>