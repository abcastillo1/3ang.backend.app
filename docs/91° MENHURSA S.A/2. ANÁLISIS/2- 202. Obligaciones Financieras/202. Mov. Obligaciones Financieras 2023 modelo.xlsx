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1 AAA\2023\0. AUDITORÍA MODELO 3ANG 2023\2. ANÁLISIS\2- 202. Obligaciones Financieras\"/>
    </mc:Choice>
  </mc:AlternateContent>
  <xr:revisionPtr revIDLastSave="0" documentId="8_{CE865292-37B1-4FE7-B689-34D30B8061C6}" xr6:coauthVersionLast="47" xr6:coauthVersionMax="47" xr10:uidLastSave="{00000000-0000-0000-0000-000000000000}"/>
  <bookViews>
    <workbookView xWindow="-120" yWindow="-120" windowWidth="20730" windowHeight="11040" xr2:uid="{C8AD5110-A927-41BC-B7A3-D5F5626A6374}"/>
  </bookViews>
  <sheets>
    <sheet name="P-202" sheetId="1" r:id="rId1"/>
    <sheet name="202-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2" l="1"/>
  <c r="C18" i="2" s="1"/>
  <c r="D4" i="2"/>
  <c r="L8" i="1"/>
  <c r="H8" i="1"/>
</calcChain>
</file>

<file path=xl/sharedStrings.xml><?xml version="1.0" encoding="utf-8"?>
<sst xmlns="http://schemas.openxmlformats.org/spreadsheetml/2006/main" count="166" uniqueCount="134">
  <si>
    <t>3 ANG ADMINISTRACIÓN DE NEGOCIOS GERENCIALES CÍA LTDA.</t>
  </si>
  <si>
    <t>PROGRAMA DE AUDITORÍA SOBRE LOS ESTADOS FINANCIEROS</t>
  </si>
  <si>
    <t>P-202</t>
  </si>
  <si>
    <t>REF P.T</t>
  </si>
  <si>
    <t xml:space="preserve">CLIENTE:             </t>
  </si>
  <si>
    <t>ABC</t>
  </si>
  <si>
    <t xml:space="preserve">PERIODO:      </t>
  </si>
  <si>
    <t>Desde el 01 de enero al 31 de Diciembre del 2023</t>
  </si>
  <si>
    <t>Preliminar:</t>
  </si>
  <si>
    <t>Final</t>
  </si>
  <si>
    <t>ÁREA</t>
  </si>
  <si>
    <t>OBLIGACIONES CON INS. FINANCIERAS CORRIENTE</t>
  </si>
  <si>
    <t>(x)</t>
  </si>
  <si>
    <t>Aprobado</t>
  </si>
  <si>
    <t>Firma y sello</t>
  </si>
  <si>
    <t xml:space="preserve">ELABORADO POR: </t>
  </si>
  <si>
    <t>Elizabeth Palacios</t>
  </si>
  <si>
    <t>FECHA:</t>
  </si>
  <si>
    <t>R.C</t>
  </si>
  <si>
    <t>REVISADO POR:</t>
  </si>
  <si>
    <t>Roy Cisneros</t>
  </si>
  <si>
    <t>OBJETIVOS:</t>
  </si>
  <si>
    <t>Verificar si la compañía contrató créditos con Instituciones Financieras o terceras personas.</t>
  </si>
  <si>
    <t>Las obligaciones financieras representan el valor de las obligaciones contraídas por la compañía mediante la obtención de recursos provenientes de establecimientos de crédito o de otras instituciones financieras u otros entes distintos de los anteriores, del país o del exterior.</t>
  </si>
  <si>
    <t>REFERENCIAS</t>
  </si>
  <si>
    <t>ASEVERACIÓN:</t>
  </si>
  <si>
    <t>REVISIÓN</t>
  </si>
  <si>
    <t>TIPO DE PRUEBA</t>
  </si>
  <si>
    <t>E</t>
  </si>
  <si>
    <t>Existencia u ocurrencia</t>
  </si>
  <si>
    <r>
      <rPr>
        <b/>
        <sz val="10"/>
        <color rgb="FFFF0000"/>
        <rFont val="Times New Roman"/>
        <family val="1"/>
      </rPr>
      <t xml:space="preserve">V  </t>
    </r>
    <r>
      <rPr>
        <sz val="10"/>
        <color theme="1"/>
        <rFont val="Times New Roman"/>
        <family val="1"/>
      </rPr>
      <t xml:space="preserve"> Valuación</t>
    </r>
  </si>
  <si>
    <t>✓</t>
  </si>
  <si>
    <t>Preliminar</t>
  </si>
  <si>
    <t>Pruebas Sustantivos.</t>
  </si>
  <si>
    <t>I</t>
  </si>
  <si>
    <t>Integridad o totalidad</t>
  </si>
  <si>
    <r>
      <rPr>
        <b/>
        <sz val="10"/>
        <color rgb="FFFF0000"/>
        <rFont val="Times New Roman"/>
        <family val="1"/>
      </rPr>
      <t xml:space="preserve">P   </t>
    </r>
    <r>
      <rPr>
        <sz val="10"/>
        <color theme="1"/>
        <rFont val="Times New Roman"/>
        <family val="1"/>
      </rPr>
      <t xml:space="preserve"> Presentación y divulgación</t>
    </r>
  </si>
  <si>
    <t>D</t>
  </si>
  <si>
    <t>. Pruebas Sustantivas de Detalle.</t>
  </si>
  <si>
    <t>Derechos y obligaciones</t>
  </si>
  <si>
    <r>
      <rPr>
        <b/>
        <sz val="10"/>
        <color rgb="FFFF0000"/>
        <rFont val="Times New Roman"/>
        <family val="1"/>
      </rPr>
      <t>P1</t>
    </r>
    <r>
      <rPr>
        <sz val="10"/>
        <color theme="1"/>
        <rFont val="Times New Roman"/>
        <family val="1"/>
      </rPr>
      <t xml:space="preserve">   Período</t>
    </r>
  </si>
  <si>
    <t>Prel y Final</t>
  </si>
  <si>
    <t>A</t>
  </si>
  <si>
    <t>. Pruebas Sustantivas Analíticas</t>
  </si>
  <si>
    <r>
      <rPr>
        <b/>
        <sz val="10"/>
        <color rgb="FFFF0000"/>
        <rFont val="Times New Roman"/>
        <family val="1"/>
      </rPr>
      <t xml:space="preserve">C  </t>
    </r>
    <r>
      <rPr>
        <sz val="10"/>
        <color theme="1"/>
        <rFont val="Times New Roman"/>
        <family val="1"/>
      </rPr>
      <t xml:space="preserve"> Clasificación</t>
    </r>
  </si>
  <si>
    <t>C</t>
  </si>
  <si>
    <t>Pruebas de Control o Cumplimiento.</t>
  </si>
  <si>
    <t>PROCEDIMIENTOS</t>
  </si>
  <si>
    <t>ASEVERACIÓN</t>
  </si>
  <si>
    <t>REFERENCIA P. T</t>
  </si>
  <si>
    <t>PRUEBAS</t>
  </si>
  <si>
    <t>V</t>
  </si>
  <si>
    <t>P</t>
  </si>
  <si>
    <t>P1</t>
  </si>
  <si>
    <t>Realizar la Sumaria.</t>
  </si>
  <si>
    <t>Realizar el reporte diario.</t>
  </si>
  <si>
    <t>202-</t>
  </si>
  <si>
    <t>Concordar  los  saldos  iniciales  con  los papeles de  trabajo del año anterior.</t>
  </si>
  <si>
    <t>Actualice el memorando que describe el Control Interno existente en esta sección y concluya si es satisfactorio o no.</t>
  </si>
  <si>
    <t>Verifique la documentación proporcionada correspondiente al préstamo, ligue contra el balance, el capital (ver si existen garantías) y documente la liquidación.</t>
  </si>
  <si>
    <t xml:space="preserve">Verifique los saldos del préstamo con las confirmaciones de los bancos </t>
  </si>
  <si>
    <t>Pruebe los intereses pagados considerando los préstamos renegociados durante el periodo con sus respectivas tasas y ligue a los estados financieros.</t>
  </si>
  <si>
    <t>Verifique que los impuestos y comisiones financieras fueron reconocidos en el gasto.</t>
  </si>
  <si>
    <t>En el caso de renovaciones de préstamos o nuevos créditos, solicite los documentos de negociación efectuada con el Banco y proceda a obtener las nuevas condiciones establecida (vencimientos, interés pagado entradas y salidas brutas, fechas  de vencimiento, condiciones de convenios, cláusulas restrictivas,    eventos de incumplimiento, activos pignorados etc.).</t>
  </si>
  <si>
    <t>Verifique si la compañía contrató nuevos créditos con Bancos o terceras personas, y documente los mismos.</t>
  </si>
  <si>
    <t>Concluir el área en base a los objetivos de auditoría.</t>
  </si>
  <si>
    <t>Analice verificando: Por los incrementos: su autorización y documentación correspondiente.</t>
  </si>
  <si>
    <t>Analice verificando: Por los pagos: su autorización, procedencia y comprobación documental.</t>
  </si>
  <si>
    <t>Verifique el cálculo de los intereses devengados durante el ejercicio y la suficiencia en su caso, del pasivo. Para verificarlo, obtenga de la empresa los datos de la cédula estándar de importes devengados.</t>
  </si>
  <si>
    <t>Ligue los intereses devengados con las provisiones y cuenta de gastos</t>
  </si>
  <si>
    <t>Cerciórese de la correcta clasificación de los adeudos a corto y largo plazo.</t>
  </si>
  <si>
    <t>Obtenga información necesaria para la correcta presentación en los estados financieros. Concluya al respecto (hipotecas, garantías, etc.)</t>
  </si>
  <si>
    <t>Concluya en la sumaria sobre los objetivos de la sección.</t>
  </si>
  <si>
    <t>CONCLUSIÓN DEL ÁREA</t>
  </si>
  <si>
    <t>3 A.N.G ADMINISTRACIÓN DE NEGOCIOS GERENCIALES CÍA. LTDA.</t>
  </si>
  <si>
    <t>202-1</t>
  </si>
  <si>
    <t>REPORTE DIARIO DE TRABAJO</t>
  </si>
  <si>
    <t>Final:</t>
  </si>
  <si>
    <t>GUIA:</t>
  </si>
  <si>
    <t xml:space="preserve">Integro/Reintegro </t>
  </si>
  <si>
    <t>EMPRESA:</t>
  </si>
  <si>
    <t>XXXXX</t>
  </si>
  <si>
    <t>ELABORADO POR:</t>
  </si>
  <si>
    <t>K.B.</t>
  </si>
  <si>
    <t>E.P.</t>
  </si>
  <si>
    <t>APROBADO POR:</t>
  </si>
  <si>
    <t>R.C.</t>
  </si>
  <si>
    <t>PERIODO :</t>
  </si>
  <si>
    <t>Desde el 01 de Enero 2023 al 31 de Diciembre del 2023</t>
  </si>
  <si>
    <t>ÁREA:</t>
  </si>
  <si>
    <t xml:space="preserve">(202) Obligaciones con Instituciones Financieras </t>
  </si>
  <si>
    <t>MONTO DEL ÁREA:</t>
  </si>
  <si>
    <t>CUENTA:</t>
  </si>
  <si>
    <t>CÓDIGO</t>
  </si>
  <si>
    <t>DESCRIPCIÓN</t>
  </si>
  <si>
    <t>VALOR</t>
  </si>
  <si>
    <t>2.1.2.0.1.8</t>
  </si>
  <si>
    <t>Sobregiros Bancarios</t>
  </si>
  <si>
    <t>MONTO DE CUENTA:</t>
  </si>
  <si>
    <t>ALCANCE:</t>
  </si>
  <si>
    <t>MATERIALIDAD:</t>
  </si>
  <si>
    <t>RIESGO:</t>
  </si>
  <si>
    <t>ALTO:</t>
  </si>
  <si>
    <t>MEDIO:</t>
  </si>
  <si>
    <t>(X)</t>
  </si>
  <si>
    <t>BAJO:</t>
  </si>
  <si>
    <t>TIPO DE PRUEBA:</t>
  </si>
  <si>
    <t>Análisis, Cumplimiento y Sustantivas</t>
  </si>
  <si>
    <t>Integridad y Exactitud</t>
  </si>
  <si>
    <t>TIEMPO ESTIMADO:</t>
  </si>
  <si>
    <t>HORAS</t>
  </si>
  <si>
    <t>¿¿¿¿</t>
  </si>
  <si>
    <t>NARRATIVA DE LA PRUEBA</t>
  </si>
  <si>
    <t>Indagar si existe una Política de Tesorería para la solicitud de préstamos bancarios donde se establecen los lineamientos para las operaciones de endeudamiento.  Observar si las obligaciones financieras están bien avaluadas.Comprobar la autenticidad de las obligaciones contraídas con las entidades financieras.Verificar que estas obligaciones hayan sido contratadas con entidades autorizadas por la Superintendencia Financiera, y pactadas a las tasas de interés del mercado.</t>
  </si>
  <si>
    <t xml:space="preserve">NIA </t>
  </si>
  <si>
    <t>¿¿</t>
  </si>
  <si>
    <t>NOMBRE NIA</t>
  </si>
  <si>
    <t>AUDITORIA DE ESTADOS FINANCIEROS</t>
  </si>
  <si>
    <t>¿¿¿</t>
  </si>
  <si>
    <t>NIA PARRAFO:</t>
  </si>
  <si>
    <t>El objetivo de una auditoría es aumentar el grado de confianza de los usuarios en los estados financieros. Esto se logra mediante la expresión, por parte del auditor, de una opinión sobre si los estados financieros han sido preparados, en todos los aspectos materiales, de conformidad con un marco de información financiera aplicable.</t>
  </si>
  <si>
    <t>PYMES, NIIF NIC:</t>
  </si>
  <si>
    <t>NIIF  PYMES:</t>
  </si>
  <si>
    <t>NIIF FULL:</t>
  </si>
  <si>
    <t>NORMA CONTAB.</t>
  </si>
  <si>
    <t>sección 25 Costos por Prestamos</t>
  </si>
  <si>
    <t>NIIF PYMES</t>
  </si>
  <si>
    <t>¿¿¿¿¿</t>
  </si>
  <si>
    <t>DETALLE SECCIÓN:</t>
  </si>
  <si>
    <t>Costos por préstamos es una sección muy sensible y directamente aplicable a una entidad que tiene proyectos ambiciosos y de expansión, esto es más frecuentes en aquellas pymes que van creciendo aceleradamente por tamaño del Mercado y su demanda del producto. Por lo tanto, se analizó dicha sección para ver las directrices contables que esta nos brinda para un determinado préstamo y el tratamiento de los costos que se incurren antes y después del préstamo.</t>
  </si>
  <si>
    <t>NIC 23 - Costos por Préstamos</t>
  </si>
  <si>
    <t>NIIF COMPLETAS</t>
  </si>
  <si>
    <t>DETALLE NIIF:</t>
  </si>
  <si>
    <t>Esta Norma se aplicará por una entidad en la contabilización de los costos por préstamos. Esta Norma no se ocupa del costo, efectivo o imputado, del patrimonio incluido el capital preferente no clasificado como pasivo.
No se requiere que una entidad aplique esta Norma a los costos por préstamos directamente atribuibles a la adquisición, construcción o producción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</si>
</sst>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quot;$&quot;\ * #,##0.00_);_(&quot;$&quot;\ * \(#,##0.00\);_(&quot;$&quot;\ *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6"/>
      <color rgb="FF002060"/>
      <name val="Calibri Light"/>
      <family val="2"/>
      <scheme val="major"/>
    </font>
    <font>
      <b/>
      <sz val="30"/>
      <color rgb="FFFF0000"/>
      <name val="Arial Black"/>
      <family val="2"/>
    </font>
    <font>
      <b/>
      <sz val="14"/>
      <color rgb="FF002060"/>
      <name val="Calibri Light"/>
      <family val="2"/>
      <scheme val="major"/>
    </font>
    <font>
      <sz val="12"/>
      <color theme="1"/>
      <name val="Times New Roman"/>
      <family val="1"/>
    </font>
    <font>
      <sz val="10"/>
      <name val="Arial"/>
      <family val="2"/>
    </font>
    <font>
      <b/>
      <sz val="12"/>
      <name val="Times New Roman"/>
      <family val="1"/>
    </font>
    <font>
      <b/>
      <sz val="12"/>
      <color theme="1"/>
      <name val="Times New Roman"/>
      <family val="1"/>
    </font>
    <font>
      <b/>
      <sz val="12"/>
      <color rgb="FFFF0000"/>
      <name val="Times New Roman"/>
      <family val="1"/>
    </font>
    <font>
      <i/>
      <sz val="10"/>
      <color theme="1"/>
      <name val="Calibri Light"/>
      <family val="2"/>
      <scheme val="major"/>
    </font>
    <font>
      <sz val="11"/>
      <color theme="1"/>
      <name val="Times New Roman"/>
      <family val="1"/>
    </font>
    <font>
      <sz val="12"/>
      <name val="Times New Roman"/>
      <family val="1"/>
    </font>
    <font>
      <b/>
      <sz val="11"/>
      <color theme="1"/>
      <name val="Times New Roman"/>
      <family val="1"/>
    </font>
    <font>
      <b/>
      <u/>
      <sz val="10"/>
      <color rgb="FFFF0000"/>
      <name val="Times New Roman"/>
      <family val="1"/>
    </font>
    <font>
      <sz val="10"/>
      <color theme="1"/>
      <name val="Times New Roman"/>
      <family val="1"/>
    </font>
    <font>
      <b/>
      <sz val="10"/>
      <color rgb="FFFF0000"/>
      <name val="Times New Roman"/>
      <family val="1"/>
    </font>
    <font>
      <sz val="11"/>
      <color rgb="FFFF0000"/>
      <name val="Arial"/>
      <family val="2"/>
    </font>
    <font>
      <sz val="10"/>
      <name val="Times New Roman"/>
      <family val="1"/>
    </font>
    <font>
      <b/>
      <u/>
      <sz val="10"/>
      <name val="Times New Roman"/>
      <family val="1"/>
    </font>
    <font>
      <b/>
      <sz val="10"/>
      <color theme="1"/>
      <name val="Times New Roman"/>
      <family val="1"/>
    </font>
    <font>
      <b/>
      <sz val="15"/>
      <name val="Times New Roman"/>
      <family val="1"/>
    </font>
    <font>
      <b/>
      <sz val="20"/>
      <color rgb="FFFF0000"/>
      <name val="Times New Roman"/>
      <family val="1"/>
    </font>
    <font>
      <sz val="12"/>
      <color indexed="62"/>
      <name val="Times New Roman"/>
      <family val="1"/>
    </font>
    <font>
      <b/>
      <u/>
      <sz val="12"/>
      <name val="Times New Roman"/>
      <family val="1"/>
    </font>
    <font>
      <sz val="12"/>
      <color rgb="FFFF0000"/>
      <name val="Times New Roman"/>
      <family val="1"/>
    </font>
  </fonts>
  <fills count="3">
    <fill>
      <patternFill patternType="none"/>
    </fill>
    <fill>
      <patternFill patternType="gray125"/>
    </fill>
    <fill>
      <patternFill patternType="solid">
        <fgColor rgb="FFFF0066"/>
        <bgColor indexed="64"/>
      </patternFill>
    </fill>
  </fills>
  <borders count="4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0" fontId="8" fillId="0" borderId="0"/>
    <xf numFmtId="0" fontId="8" fillId="0" borderId="0"/>
    <xf numFmtId="164" fontId="1" fillId="0" borderId="0" applyFont="0" applyFill="0" applyBorder="0" applyAlignment="0" applyProtection="0"/>
    <xf numFmtId="165" fontId="1" fillId="0" borderId="0" applyFont="0" applyFill="0" applyBorder="0" applyAlignment="0" applyProtection="0"/>
  </cellStyleXfs>
  <cellXfs count="179">
    <xf numFmtId="0" fontId="0" fillId="0" borderId="0" xfId="0"/>
    <xf numFmtId="0" fontId="3" fillId="0" borderId="0" xfId="0" applyFont="1" applyAlignment="1">
      <alignment textRotation="255"/>
    </xf>
    <xf numFmtId="0" fontId="4" fillId="0" borderId="0" xfId="0" applyFont="1" applyAlignment="1">
      <alignment horizontal="center"/>
    </xf>
    <xf numFmtId="0" fontId="5" fillId="0" borderId="1" xfId="0" applyFont="1" applyBorder="1" applyAlignment="1">
      <alignment horizontal="center" vertical="center"/>
    </xf>
    <xf numFmtId="0" fontId="6" fillId="0" borderId="0" xfId="0" applyFont="1" applyAlignment="1">
      <alignment horizontal="center"/>
    </xf>
    <xf numFmtId="0" fontId="2" fillId="0" borderId="0" xfId="0" applyFont="1" applyAlignment="1">
      <alignment horizontal="right"/>
    </xf>
    <xf numFmtId="0" fontId="5" fillId="0" borderId="2" xfId="0" applyFont="1" applyBorder="1" applyAlignment="1">
      <alignment horizontal="center" vertical="center"/>
    </xf>
    <xf numFmtId="0" fontId="7" fillId="0" borderId="0" xfId="0" applyFont="1" applyAlignment="1">
      <alignment textRotation="255"/>
    </xf>
    <xf numFmtId="0" fontId="9" fillId="0" borderId="0" xfId="2" applyFont="1"/>
    <xf numFmtId="0" fontId="7" fillId="0" borderId="0" xfId="0" applyFont="1"/>
    <xf numFmtId="0" fontId="5" fillId="0" borderId="3" xfId="0" applyFont="1" applyBorder="1" applyAlignment="1">
      <alignment horizontal="center" vertical="center"/>
    </xf>
    <xf numFmtId="0" fontId="10" fillId="0" borderId="0" xfId="0" applyFont="1" applyAlignment="1">
      <alignment horizontal="center"/>
    </xf>
    <xf numFmtId="0" fontId="10" fillId="0" borderId="0" xfId="0" applyFont="1" applyAlignment="1">
      <alignment horizontal="center"/>
    </xf>
    <xf numFmtId="0" fontId="10" fillId="0" borderId="0" xfId="0" applyFont="1"/>
    <xf numFmtId="0" fontId="11" fillId="0" borderId="0" xfId="0" applyFont="1" applyAlignment="1">
      <alignment horizontal="center"/>
    </xf>
    <xf numFmtId="0" fontId="11" fillId="0" borderId="0" xfId="0" applyFont="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12" fillId="0" borderId="6" xfId="0" applyFont="1" applyBorder="1" applyAlignment="1">
      <alignment horizontal="right"/>
    </xf>
    <xf numFmtId="14" fontId="13" fillId="0" borderId="0" xfId="0" applyNumberFormat="1" applyFont="1" applyAlignment="1">
      <alignment horizontal="center"/>
    </xf>
    <xf numFmtId="0" fontId="13" fillId="0" borderId="0" xfId="0" applyFont="1" applyAlignment="1">
      <alignment horizontal="center"/>
    </xf>
    <xf numFmtId="14" fontId="13" fillId="0" borderId="7" xfId="0" applyNumberFormat="1" applyFont="1" applyBorder="1" applyAlignment="1">
      <alignment horizontal="center"/>
    </xf>
    <xf numFmtId="0" fontId="11" fillId="0" borderId="8" xfId="0" applyFont="1" applyBorder="1" applyAlignment="1">
      <alignment horizontal="center"/>
    </xf>
    <xf numFmtId="14" fontId="13" fillId="0" borderId="9" xfId="0" applyNumberFormat="1" applyFont="1" applyBorder="1" applyAlignment="1">
      <alignment horizontal="center"/>
    </xf>
    <xf numFmtId="0" fontId="13" fillId="0" borderId="10" xfId="0" applyFont="1" applyBorder="1" applyAlignment="1">
      <alignment horizontal="center"/>
    </xf>
    <xf numFmtId="0" fontId="7" fillId="0" borderId="11" xfId="0" applyFont="1" applyBorder="1"/>
    <xf numFmtId="0" fontId="9" fillId="0" borderId="0" xfId="2" applyFont="1" applyAlignment="1">
      <alignment horizontal="left" vertical="center"/>
    </xf>
    <xf numFmtId="0" fontId="13" fillId="0" borderId="0" xfId="0" applyFont="1" applyAlignment="1">
      <alignment horizontal="justify" vertical="justify"/>
    </xf>
    <xf numFmtId="0" fontId="14" fillId="0" borderId="0" xfId="0" applyFont="1" applyAlignment="1">
      <alignment textRotation="255" wrapText="1"/>
    </xf>
    <xf numFmtId="0" fontId="9" fillId="0" borderId="0" xfId="2" applyFont="1" applyAlignment="1">
      <alignment horizontal="left" vertical="center"/>
    </xf>
    <xf numFmtId="0" fontId="15" fillId="0" borderId="0" xfId="0" applyFont="1" applyAlignment="1">
      <alignment horizontal="justify" vertical="justify"/>
    </xf>
    <xf numFmtId="0" fontId="13" fillId="0" borderId="0" xfId="0" applyFont="1" applyAlignment="1">
      <alignment horizontal="justify" vertical="justify"/>
    </xf>
    <xf numFmtId="0" fontId="16" fillId="0" borderId="0" xfId="0" applyFont="1" applyAlignment="1">
      <alignment horizontal="center"/>
    </xf>
    <xf numFmtId="0" fontId="17" fillId="0" borderId="0" xfId="0" applyFont="1"/>
    <xf numFmtId="0" fontId="18" fillId="0" borderId="0" xfId="0" applyFont="1"/>
    <xf numFmtId="0" fontId="18" fillId="0" borderId="0" xfId="0" applyFont="1" applyAlignment="1">
      <alignment horizontal="right"/>
    </xf>
    <xf numFmtId="0" fontId="19" fillId="0" borderId="0" xfId="0" applyFont="1"/>
    <xf numFmtId="0" fontId="18" fillId="0" borderId="0" xfId="3" applyFont="1" applyAlignment="1">
      <alignment horizontal="right" vertical="top" wrapText="1"/>
    </xf>
    <xf numFmtId="0" fontId="20" fillId="0" borderId="0" xfId="0" applyFont="1"/>
    <xf numFmtId="0" fontId="21" fillId="0" borderId="0" xfId="0" applyFont="1"/>
    <xf numFmtId="0" fontId="22" fillId="0" borderId="0" xfId="0" applyFont="1"/>
    <xf numFmtId="49" fontId="18" fillId="0" borderId="0" xfId="3" applyNumberFormat="1" applyFont="1" applyAlignment="1">
      <alignment horizontal="right" vertical="top" wrapText="1"/>
    </xf>
    <xf numFmtId="0" fontId="17" fillId="0" borderId="0" xfId="0" applyFont="1" applyAlignment="1">
      <alignment textRotation="255"/>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5" fillId="0" borderId="12" xfId="0" applyFont="1" applyBorder="1" applyAlignment="1">
      <alignment horizontal="center" vertical="center" wrapText="1"/>
    </xf>
    <xf numFmtId="0" fontId="15" fillId="0" borderId="13" xfId="0" applyFont="1" applyBorder="1" applyAlignment="1">
      <alignment horizontal="center" vertical="center" wrapText="1"/>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18" xfId="0" applyFont="1" applyBorder="1" applyAlignment="1">
      <alignment horizontal="center" vertical="center"/>
    </xf>
    <xf numFmtId="0" fontId="11" fillId="0" borderId="19" xfId="0" applyFont="1" applyBorder="1" applyAlignment="1">
      <alignment vertical="center"/>
    </xf>
    <xf numFmtId="0" fontId="11" fillId="0" borderId="20" xfId="0" applyFont="1" applyBorder="1" applyAlignment="1">
      <alignment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0" fillId="0" borderId="21" xfId="0" applyFont="1" applyBorder="1" applyAlignment="1">
      <alignment horizontal="center" vertical="center"/>
    </xf>
    <xf numFmtId="0" fontId="7" fillId="0" borderId="22" xfId="0" applyFont="1" applyBorder="1" applyAlignment="1">
      <alignment horizontal="left" vertical="justify"/>
    </xf>
    <xf numFmtId="0" fontId="10" fillId="0" borderId="16" xfId="0" applyFont="1" applyBorder="1" applyAlignment="1">
      <alignment horizontal="left" vertical="justify"/>
    </xf>
    <xf numFmtId="0" fontId="11" fillId="0" borderId="23" xfId="0" applyFont="1" applyBorder="1" applyAlignment="1">
      <alignment horizontal="center" vertical="center"/>
    </xf>
    <xf numFmtId="0" fontId="11" fillId="0" borderId="3" xfId="0" applyFont="1" applyBorder="1" applyAlignment="1">
      <alignment horizontal="center" vertical="center"/>
    </xf>
    <xf numFmtId="0" fontId="11" fillId="0" borderId="24" xfId="0" applyFont="1" applyBorder="1" applyAlignment="1">
      <alignment horizontal="center" vertical="center"/>
    </xf>
    <xf numFmtId="0" fontId="10" fillId="0" borderId="25" xfId="0" applyFont="1" applyBorder="1" applyAlignment="1">
      <alignment horizontal="center" vertical="center" wrapText="1"/>
    </xf>
    <xf numFmtId="0" fontId="10" fillId="0" borderId="26" xfId="0" applyFont="1" applyBorder="1" applyAlignment="1">
      <alignment horizontal="center" vertical="center"/>
    </xf>
    <xf numFmtId="0" fontId="11" fillId="0" borderId="27" xfId="0" applyFont="1" applyBorder="1" applyAlignment="1">
      <alignment horizontal="center"/>
    </xf>
    <xf numFmtId="0" fontId="11" fillId="0" borderId="28" xfId="0" applyFont="1" applyBorder="1" applyAlignment="1">
      <alignment horizontal="center"/>
    </xf>
    <xf numFmtId="0" fontId="7" fillId="0" borderId="29" xfId="0" applyFont="1" applyBorder="1"/>
    <xf numFmtId="0" fontId="7" fillId="0" borderId="30" xfId="0" applyFont="1" applyBorder="1" applyAlignment="1">
      <alignment horizontal="justify" vertical="justify"/>
    </xf>
    <xf numFmtId="0" fontId="7" fillId="0" borderId="29" xfId="0" applyFont="1" applyBorder="1" applyAlignment="1">
      <alignment horizontal="justify" vertical="justify"/>
    </xf>
    <xf numFmtId="0" fontId="7" fillId="0" borderId="31" xfId="0" applyFont="1" applyBorder="1" applyAlignment="1">
      <alignment horizontal="center"/>
    </xf>
    <xf numFmtId="0" fontId="7" fillId="0" borderId="32" xfId="0" applyFont="1" applyBorder="1" applyAlignment="1">
      <alignment horizontal="center"/>
    </xf>
    <xf numFmtId="0" fontId="7" fillId="0" borderId="28" xfId="0" applyFont="1" applyBorder="1" applyAlignment="1">
      <alignment horizontal="center"/>
    </xf>
    <xf numFmtId="0" fontId="7" fillId="0" borderId="27" xfId="0" applyFont="1" applyBorder="1" applyAlignment="1">
      <alignment horizontal="center"/>
    </xf>
    <xf numFmtId="0" fontId="7" fillId="0" borderId="17" xfId="0" applyFont="1" applyBorder="1" applyAlignment="1">
      <alignment horizontal="justify" vertical="justify"/>
    </xf>
    <xf numFmtId="0" fontId="7" fillId="0" borderId="18" xfId="0" applyFont="1" applyBorder="1" applyAlignment="1">
      <alignment horizontal="justify" vertical="justify"/>
    </xf>
    <xf numFmtId="0" fontId="7" fillId="0" borderId="19" xfId="0" applyFont="1" applyBorder="1"/>
    <xf numFmtId="0" fontId="7" fillId="0" borderId="20" xfId="0" applyFont="1" applyBorder="1"/>
    <xf numFmtId="0" fontId="7" fillId="0" borderId="17" xfId="0" applyFont="1" applyBorder="1"/>
    <xf numFmtId="0" fontId="7" fillId="0" borderId="18" xfId="0" applyFont="1" applyBorder="1"/>
    <xf numFmtId="0" fontId="7" fillId="0" borderId="21" xfId="0" applyFont="1" applyBorder="1"/>
    <xf numFmtId="0" fontId="10" fillId="0" borderId="0" xfId="0" applyFont="1" applyAlignment="1">
      <alignment horizontal="justify" vertical="justify"/>
    </xf>
    <xf numFmtId="0" fontId="7" fillId="0" borderId="33" xfId="0" applyFont="1" applyBorder="1" applyAlignment="1">
      <alignment horizontal="center"/>
    </xf>
    <xf numFmtId="0" fontId="7" fillId="0" borderId="34" xfId="0" applyFont="1" applyBorder="1" applyAlignment="1">
      <alignment horizontal="center"/>
    </xf>
    <xf numFmtId="0" fontId="7" fillId="0" borderId="35" xfId="0" applyFont="1" applyBorder="1" applyAlignment="1">
      <alignment horizontal="center"/>
    </xf>
    <xf numFmtId="0" fontId="14" fillId="0" borderId="0" xfId="2" applyFont="1" applyAlignment="1">
      <alignment vertical="top" textRotation="255" wrapText="1"/>
    </xf>
    <xf numFmtId="0" fontId="14" fillId="0" borderId="4" xfId="2" applyFont="1" applyBorder="1" applyAlignment="1">
      <alignment horizontal="left" vertical="center"/>
    </xf>
    <xf numFmtId="0" fontId="23" fillId="0" borderId="5" xfId="0" applyFont="1" applyBorder="1" applyAlignment="1">
      <alignment horizontal="center" wrapText="1"/>
    </xf>
    <xf numFmtId="0" fontId="24" fillId="0" borderId="36" xfId="0" applyFont="1" applyBorder="1" applyAlignment="1">
      <alignment horizontal="center" vertical="center" wrapText="1"/>
    </xf>
    <xf numFmtId="0" fontId="25" fillId="0" borderId="0" xfId="0" applyFont="1" applyAlignment="1">
      <alignment horizontal="center" wrapText="1"/>
    </xf>
    <xf numFmtId="0" fontId="25" fillId="0" borderId="0" xfId="0" applyFont="1" applyAlignment="1">
      <alignment wrapText="1"/>
    </xf>
    <xf numFmtId="0" fontId="14" fillId="0" borderId="0" xfId="2" applyFont="1" applyAlignment="1">
      <alignment wrapText="1"/>
    </xf>
    <xf numFmtId="0" fontId="14" fillId="0" borderId="9" xfId="2" applyFont="1" applyBorder="1" applyAlignment="1">
      <alignment horizontal="left" vertical="center"/>
    </xf>
    <xf numFmtId="0" fontId="9" fillId="0" borderId="10" xfId="0" applyFont="1" applyBorder="1" applyAlignment="1">
      <alignment horizontal="center" wrapText="1"/>
    </xf>
    <xf numFmtId="0" fontId="24" fillId="0" borderId="37" xfId="0" applyFont="1" applyBorder="1" applyAlignment="1">
      <alignment horizontal="center" vertical="center" wrapText="1"/>
    </xf>
    <xf numFmtId="0" fontId="9" fillId="0" borderId="0" xfId="0" applyFont="1" applyAlignment="1">
      <alignment horizontal="center" wrapText="1"/>
    </xf>
    <xf numFmtId="0" fontId="11" fillId="0" borderId="0" xfId="2" applyFont="1" applyAlignment="1">
      <alignment horizontal="center" wrapText="1"/>
    </xf>
    <xf numFmtId="0" fontId="9" fillId="0" borderId="0" xfId="2" applyFont="1" applyAlignment="1">
      <alignment wrapText="1"/>
    </xf>
    <xf numFmtId="0" fontId="7" fillId="0" borderId="0" xfId="0" applyFont="1" applyAlignment="1">
      <alignment vertical="top" textRotation="255"/>
    </xf>
    <xf numFmtId="0" fontId="26" fillId="0" borderId="38" xfId="2" applyFont="1" applyBorder="1" applyAlignment="1">
      <alignment horizontal="left" vertical="center"/>
    </xf>
    <xf numFmtId="0" fontId="9" fillId="0" borderId="12" xfId="2" applyFont="1" applyBorder="1" applyAlignment="1">
      <alignment horizontal="left" vertical="center"/>
    </xf>
    <xf numFmtId="14" fontId="9" fillId="0" borderId="15" xfId="2" applyNumberFormat="1" applyFont="1" applyBorder="1" applyAlignment="1">
      <alignment horizontal="justify" vertical="justify"/>
    </xf>
    <xf numFmtId="14" fontId="9" fillId="0" borderId="13" xfId="2" applyNumberFormat="1" applyFont="1" applyBorder="1" applyAlignment="1">
      <alignment horizontal="justify" vertical="justify"/>
    </xf>
    <xf numFmtId="14" fontId="14" fillId="0" borderId="0" xfId="0" applyNumberFormat="1" applyFont="1" applyAlignment="1">
      <alignment horizontal="left" vertical="center" wrapText="1"/>
    </xf>
    <xf numFmtId="0" fontId="26" fillId="0" borderId="30" xfId="2" applyFont="1" applyBorder="1" applyAlignment="1">
      <alignment horizontal="left" vertical="center"/>
    </xf>
    <xf numFmtId="0" fontId="9" fillId="0" borderId="27" xfId="2" applyFont="1" applyBorder="1" applyAlignment="1">
      <alignment horizontal="left" vertical="center"/>
    </xf>
    <xf numFmtId="14" fontId="9" fillId="0" borderId="32" xfId="2" applyNumberFormat="1" applyFont="1" applyBorder="1" applyAlignment="1">
      <alignment horizontal="justify" vertical="justify"/>
    </xf>
    <xf numFmtId="14" fontId="9" fillId="0" borderId="28" xfId="2" applyNumberFormat="1" applyFont="1" applyBorder="1" applyAlignment="1">
      <alignment horizontal="justify" vertical="justify"/>
    </xf>
    <xf numFmtId="0" fontId="9" fillId="0" borderId="30" xfId="2" applyFont="1" applyBorder="1" applyAlignment="1">
      <alignment horizontal="left" vertical="center"/>
    </xf>
    <xf numFmtId="0" fontId="14" fillId="0" borderId="27" xfId="0" applyFont="1" applyBorder="1" applyAlignment="1">
      <alignment horizontal="justify" vertical="justify"/>
    </xf>
    <xf numFmtId="0" fontId="14" fillId="0" borderId="32" xfId="0" applyFont="1" applyBorder="1" applyAlignment="1">
      <alignment horizontal="justify" vertical="justify"/>
    </xf>
    <xf numFmtId="0" fontId="14" fillId="0" borderId="28" xfId="0" applyFont="1" applyBorder="1" applyAlignment="1">
      <alignment horizontal="justify" vertical="justify"/>
    </xf>
    <xf numFmtId="0" fontId="14" fillId="0" borderId="0" xfId="0" applyFont="1" applyAlignment="1">
      <alignment horizontal="left" vertical="center" wrapText="1"/>
    </xf>
    <xf numFmtId="0" fontId="9" fillId="0" borderId="0" xfId="0" applyFont="1" applyAlignment="1">
      <alignment horizontal="left" vertical="center" wrapText="1"/>
    </xf>
    <xf numFmtId="0" fontId="9" fillId="0" borderId="27" xfId="0" applyFont="1" applyBorder="1" applyAlignment="1">
      <alignment horizontal="justify" vertical="justify"/>
    </xf>
    <xf numFmtId="0" fontId="9" fillId="0" borderId="32" xfId="0" applyFont="1" applyBorder="1" applyAlignment="1">
      <alignment horizontal="justify" vertical="justify"/>
    </xf>
    <xf numFmtId="0" fontId="9" fillId="0" borderId="28" xfId="0" applyFont="1" applyBorder="1" applyAlignment="1">
      <alignment horizontal="justify" vertical="justify"/>
    </xf>
    <xf numFmtId="0" fontId="26" fillId="0" borderId="7" xfId="2" applyFont="1" applyBorder="1" applyAlignment="1">
      <alignment horizontal="left" vertical="center"/>
    </xf>
    <xf numFmtId="164" fontId="9" fillId="0" borderId="9" xfId="4" applyFont="1" applyFill="1" applyBorder="1" applyAlignment="1">
      <alignment horizontal="center" vertical="center"/>
    </xf>
    <xf numFmtId="164" fontId="9" fillId="0" borderId="10" xfId="4" applyFont="1" applyFill="1" applyBorder="1" applyAlignment="1">
      <alignment horizontal="center" vertical="center"/>
    </xf>
    <xf numFmtId="164" fontId="9" fillId="0" borderId="11" xfId="4" applyFont="1" applyFill="1" applyBorder="1" applyAlignment="1">
      <alignment horizontal="center" vertical="center"/>
    </xf>
    <xf numFmtId="164" fontId="14" fillId="0" borderId="0" xfId="4" applyFont="1" applyBorder="1" applyAlignment="1">
      <alignment horizontal="left" vertical="center" wrapText="1"/>
    </xf>
    <xf numFmtId="0" fontId="9" fillId="0" borderId="7" xfId="0" applyFont="1" applyBorder="1" applyAlignment="1">
      <alignment horizontal="center" vertical="center"/>
    </xf>
    <xf numFmtId="0" fontId="9" fillId="0" borderId="33" xfId="2" applyFont="1" applyBorder="1" applyAlignment="1">
      <alignment vertical="center"/>
    </xf>
    <xf numFmtId="164" fontId="9" fillId="0" borderId="39" xfId="4" applyFont="1" applyFill="1" applyBorder="1" applyAlignment="1">
      <alignment vertical="center"/>
    </xf>
    <xf numFmtId="164" fontId="9" fillId="0" borderId="35" xfId="4" applyFont="1" applyBorder="1" applyAlignment="1">
      <alignment horizontal="left" vertical="center" wrapText="1"/>
    </xf>
    <xf numFmtId="0" fontId="9" fillId="0" borderId="7" xfId="0" applyFont="1" applyBorder="1" applyAlignment="1">
      <alignment vertical="center"/>
    </xf>
    <xf numFmtId="0" fontId="9" fillId="0" borderId="40" xfId="0" applyFont="1" applyBorder="1" applyAlignment="1">
      <alignment vertical="center"/>
    </xf>
    <xf numFmtId="165" fontId="7" fillId="0" borderId="8" xfId="5" applyFont="1" applyBorder="1" applyAlignment="1">
      <alignment horizontal="left"/>
    </xf>
    <xf numFmtId="0" fontId="7" fillId="0" borderId="0" xfId="0" applyFont="1" applyAlignment="1">
      <alignment horizontal="left"/>
    </xf>
    <xf numFmtId="0" fontId="7" fillId="0" borderId="8" xfId="0" applyFont="1" applyBorder="1" applyAlignment="1">
      <alignment horizontal="left"/>
    </xf>
    <xf numFmtId="165" fontId="14" fillId="0" borderId="27" xfId="0" applyNumberFormat="1" applyFont="1" applyBorder="1" applyAlignment="1">
      <alignment horizontal="justify" vertical="justify"/>
    </xf>
    <xf numFmtId="9" fontId="14" fillId="0" borderId="27" xfId="1" applyFont="1" applyFill="1" applyBorder="1" applyAlignment="1">
      <alignment horizontal="justify" vertical="justify"/>
    </xf>
    <xf numFmtId="9" fontId="14" fillId="0" borderId="32" xfId="1" applyFont="1" applyFill="1" applyBorder="1" applyAlignment="1">
      <alignment horizontal="justify" vertical="justify"/>
    </xf>
    <xf numFmtId="9" fontId="14" fillId="0" borderId="28" xfId="1" applyFont="1" applyFill="1" applyBorder="1" applyAlignment="1">
      <alignment horizontal="justify" vertical="justify"/>
    </xf>
    <xf numFmtId="9" fontId="14" fillId="0" borderId="0" xfId="0" applyNumberFormat="1" applyFont="1" applyAlignment="1">
      <alignment horizontal="left" vertical="center" wrapText="1"/>
    </xf>
    <xf numFmtId="0" fontId="9" fillId="0" borderId="27" xfId="2" applyFont="1" applyBorder="1" applyAlignment="1">
      <alignment vertical="center"/>
    </xf>
    <xf numFmtId="0" fontId="14" fillId="0" borderId="32" xfId="0" applyFont="1" applyBorder="1" applyAlignment="1">
      <alignment horizontal="left" vertical="center" wrapText="1"/>
    </xf>
    <xf numFmtId="0" fontId="14" fillId="0" borderId="28" xfId="0" applyFont="1" applyBorder="1" applyAlignment="1">
      <alignment horizontal="left" vertical="center" wrapText="1"/>
    </xf>
    <xf numFmtId="0" fontId="11" fillId="0" borderId="32" xfId="0" applyFont="1" applyBorder="1" applyAlignment="1">
      <alignment horizontal="left" vertical="center" wrapText="1"/>
    </xf>
    <xf numFmtId="0" fontId="14" fillId="0" borderId="27" xfId="0" applyFont="1" applyBorder="1" applyAlignment="1">
      <alignment horizontal="justify" vertical="justify" wrapText="1"/>
    </xf>
    <xf numFmtId="0" fontId="14" fillId="0" borderId="32" xfId="0" applyFont="1" applyBorder="1" applyAlignment="1">
      <alignment horizontal="justify" vertical="justify" wrapText="1"/>
    </xf>
    <xf numFmtId="0" fontId="14" fillId="0" borderId="28" xfId="0" applyFont="1" applyBorder="1" applyAlignment="1">
      <alignment horizontal="justify" vertical="justify" wrapText="1"/>
    </xf>
    <xf numFmtId="0" fontId="9" fillId="0" borderId="41" xfId="2" applyFont="1" applyBorder="1" applyAlignment="1">
      <alignment horizontal="left" vertical="center"/>
    </xf>
    <xf numFmtId="0" fontId="14" fillId="0" borderId="27" xfId="0" applyFont="1" applyBorder="1" applyAlignment="1">
      <alignment horizontal="left" vertical="center" wrapText="1"/>
    </xf>
    <xf numFmtId="0" fontId="14" fillId="0" borderId="32" xfId="0" applyFont="1" applyBorder="1" applyAlignment="1">
      <alignment horizontal="left" vertical="center" wrapText="1"/>
    </xf>
    <xf numFmtId="0" fontId="9" fillId="0" borderId="42" xfId="2" applyFont="1" applyBorder="1" applyAlignment="1">
      <alignment horizontal="left" vertical="center" wrapText="1"/>
    </xf>
    <xf numFmtId="0" fontId="14" fillId="0" borderId="23" xfId="0" applyFont="1" applyBorder="1" applyAlignment="1">
      <alignment horizontal="justify" vertical="justify" wrapText="1"/>
    </xf>
    <xf numFmtId="0" fontId="14" fillId="0" borderId="3" xfId="0" applyFont="1" applyBorder="1" applyAlignment="1">
      <alignment horizontal="justify" vertical="justify" wrapText="1"/>
    </xf>
    <xf numFmtId="0" fontId="14" fillId="0" borderId="25" xfId="0" applyFont="1" applyBorder="1" applyAlignment="1">
      <alignment horizontal="justify" vertical="justify" wrapText="1"/>
    </xf>
    <xf numFmtId="0" fontId="9" fillId="0" borderId="43" xfId="0" applyFont="1" applyBorder="1" applyAlignment="1">
      <alignment horizontal="left" vertical="center"/>
    </xf>
    <xf numFmtId="0" fontId="14" fillId="0" borderId="31" xfId="0" applyFont="1" applyBorder="1" applyAlignment="1">
      <alignment horizontal="justify" vertical="justify" wrapText="1"/>
    </xf>
    <xf numFmtId="0" fontId="9" fillId="0" borderId="0" xfId="0" applyFont="1" applyAlignment="1">
      <alignment horizontal="center" vertical="center" wrapText="1"/>
    </xf>
    <xf numFmtId="0" fontId="14" fillId="0" borderId="0" xfId="0" applyFont="1" applyAlignment="1">
      <alignment vertical="top" wrapText="1"/>
    </xf>
    <xf numFmtId="0" fontId="9" fillId="0" borderId="43" xfId="0" applyFont="1" applyBorder="1" applyAlignment="1">
      <alignment horizontal="center" vertical="center"/>
    </xf>
    <xf numFmtId="0" fontId="9" fillId="0" borderId="31" xfId="0" applyFont="1" applyBorder="1" applyAlignment="1">
      <alignment vertical="center"/>
    </xf>
    <xf numFmtId="0" fontId="7" fillId="0" borderId="32" xfId="0" applyFont="1" applyBorder="1"/>
    <xf numFmtId="0" fontId="14" fillId="0" borderId="28" xfId="0" applyFont="1" applyBorder="1" applyAlignment="1">
      <alignment vertical="center"/>
    </xf>
    <xf numFmtId="0" fontId="14" fillId="0" borderId="0" xfId="0" applyFont="1" applyAlignment="1">
      <alignment vertical="center"/>
    </xf>
    <xf numFmtId="0" fontId="9" fillId="0" borderId="44" xfId="0" applyFont="1" applyBorder="1" applyAlignment="1">
      <alignment horizontal="center" vertical="center"/>
    </xf>
    <xf numFmtId="0" fontId="11" fillId="0" borderId="32" xfId="0" applyFont="1" applyBorder="1" applyAlignment="1">
      <alignment vertical="center"/>
    </xf>
    <xf numFmtId="0" fontId="9" fillId="0" borderId="38" xfId="0" applyFont="1" applyBorder="1" applyAlignment="1">
      <alignment horizontal="left" vertical="center"/>
    </xf>
    <xf numFmtId="0" fontId="9" fillId="0" borderId="27" xfId="0" applyFont="1" applyBorder="1" applyAlignment="1">
      <alignment horizontal="left" vertical="center"/>
    </xf>
    <xf numFmtId="0" fontId="9" fillId="0" borderId="32" xfId="0" applyFont="1" applyBorder="1" applyAlignment="1">
      <alignment horizontal="left" vertical="center"/>
    </xf>
    <xf numFmtId="0" fontId="27" fillId="0" borderId="28" xfId="0" applyFont="1" applyBorder="1" applyAlignment="1">
      <alignment horizontal="center" vertical="center" textRotation="90" wrapText="1"/>
    </xf>
    <xf numFmtId="0" fontId="9" fillId="0" borderId="0" xfId="0" applyFont="1" applyAlignment="1">
      <alignment vertical="center"/>
    </xf>
    <xf numFmtId="0" fontId="9" fillId="0" borderId="30" xfId="0" applyFont="1" applyBorder="1" applyAlignment="1">
      <alignment horizontal="left" vertical="center"/>
    </xf>
    <xf numFmtId="0" fontId="14" fillId="0" borderId="27" xfId="0" applyFont="1" applyBorder="1" applyAlignment="1">
      <alignment horizontal="justify" vertical="top" wrapText="1"/>
    </xf>
    <xf numFmtId="0" fontId="14" fillId="0" borderId="32" xfId="0" applyFont="1" applyBorder="1" applyAlignment="1">
      <alignment horizontal="justify" vertical="top" wrapText="1"/>
    </xf>
    <xf numFmtId="0" fontId="14" fillId="0" borderId="0" xfId="0" applyFont="1" applyAlignment="1">
      <alignment horizontal="left" vertical="top" wrapText="1"/>
    </xf>
    <xf numFmtId="0" fontId="9" fillId="2" borderId="30" xfId="0" applyFont="1" applyFill="1" applyBorder="1" applyAlignment="1">
      <alignment horizontal="left" vertical="center"/>
    </xf>
    <xf numFmtId="0" fontId="9" fillId="0" borderId="24" xfId="0" applyFont="1" applyBorder="1" applyAlignment="1">
      <alignment horizontal="left" vertical="center"/>
    </xf>
    <xf numFmtId="0" fontId="9" fillId="0" borderId="3" xfId="0" applyFont="1" applyBorder="1" applyAlignment="1">
      <alignment horizontal="left" vertical="center"/>
    </xf>
    <xf numFmtId="0" fontId="27" fillId="0" borderId="8" xfId="0" applyFont="1" applyBorder="1" applyAlignment="1">
      <alignment horizontal="center" vertical="center" textRotation="90" wrapText="1"/>
    </xf>
    <xf numFmtId="0" fontId="9" fillId="2" borderId="45" xfId="0" applyFont="1" applyFill="1" applyBorder="1" applyAlignment="1">
      <alignment horizontal="left" vertical="center"/>
    </xf>
    <xf numFmtId="0" fontId="14" fillId="0" borderId="17" xfId="0" applyFont="1" applyBorder="1" applyAlignment="1">
      <alignment horizontal="justify" vertical="top" wrapText="1"/>
    </xf>
    <xf numFmtId="0" fontId="14" fillId="0" borderId="20" xfId="0" applyFont="1" applyBorder="1" applyAlignment="1">
      <alignment horizontal="justify" vertical="top" wrapText="1"/>
    </xf>
    <xf numFmtId="0" fontId="27" fillId="0" borderId="11" xfId="0" applyFont="1" applyBorder="1" applyAlignment="1">
      <alignment horizontal="center" vertical="center" textRotation="90" wrapText="1"/>
    </xf>
    <xf numFmtId="0" fontId="14" fillId="0" borderId="0" xfId="0" applyFont="1" applyAlignment="1">
      <alignment horizontal="left" vertical="center"/>
    </xf>
    <xf numFmtId="0" fontId="14" fillId="0" borderId="0" xfId="0" applyFont="1"/>
  </cellXfs>
  <cellStyles count="6">
    <cellStyle name="Millares 2" xfId="4" xr:uid="{DDF4F31D-2801-4F1E-A6B0-373F3D77FC67}"/>
    <cellStyle name="Moneda 2" xfId="5" xr:uid="{775A6CC8-2F5C-4145-9221-E404BEB4F7E8}"/>
    <cellStyle name="Normal" xfId="0" builtinId="0"/>
    <cellStyle name="Normal 2" xfId="2" xr:uid="{9BA02EA4-5574-4331-ADB1-2893DD603476}"/>
    <cellStyle name="Normal 47" xfId="3" xr:uid="{18ED4D0C-B555-4F21-B57E-4E8171845551}"/>
    <cellStyle name="Porcentaje"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19050</xdr:rowOff>
    </xdr:from>
    <xdr:to>
      <xdr:col>2</xdr:col>
      <xdr:colOff>1247775</xdr:colOff>
      <xdr:row>3</xdr:row>
      <xdr:rowOff>114300</xdr:rowOff>
    </xdr:to>
    <xdr:pic>
      <xdr:nvPicPr>
        <xdr:cNvPr id="2" name="Imagen 1" descr="C:\Users\Usuario\Desktop\A AUDITORIAS\A AUDITORIAS\2018\LOGOS\Logo 1\3ANG_LOGO.png">
          <a:extLst>
            <a:ext uri="{FF2B5EF4-FFF2-40B4-BE49-F238E27FC236}">
              <a16:creationId xmlns:a16="http://schemas.microsoft.com/office/drawing/2014/main" id="{5A7959AD-B31D-4862-B73B-6AB4119E3F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19050"/>
          <a:ext cx="1228724" cy="666750"/>
        </a:xfrm>
        <a:prstGeom prst="rect">
          <a:avLst/>
        </a:prstGeom>
        <a:noFill/>
        <a:ln>
          <a:noFill/>
        </a:ln>
      </xdr:spPr>
    </xdr:pic>
    <xdr:clientData/>
  </xdr:twoCellAnchor>
  <xdr:twoCellAnchor>
    <xdr:from>
      <xdr:col>18</xdr:col>
      <xdr:colOff>0</xdr:colOff>
      <xdr:row>1</xdr:row>
      <xdr:rowOff>0</xdr:rowOff>
    </xdr:from>
    <xdr:to>
      <xdr:col>19</xdr:col>
      <xdr:colOff>38100</xdr:colOff>
      <xdr:row>3</xdr:row>
      <xdr:rowOff>85725</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FB3BA9FF-1073-421F-8DAD-EE070EAE807A}"/>
            </a:ext>
          </a:extLst>
        </xdr:cNvPr>
        <xdr:cNvSpPr/>
      </xdr:nvSpPr>
      <xdr:spPr>
        <a:xfrm>
          <a:off x="9906000" y="266700"/>
          <a:ext cx="800100" cy="466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1762125</xdr:colOff>
      <xdr:row>2</xdr:row>
      <xdr:rowOff>0</xdr:rowOff>
    </xdr:to>
    <xdr:pic>
      <xdr:nvPicPr>
        <xdr:cNvPr id="2" name="Imagen 2" descr="C:\Users\Usuario\Desktop\A AUDITORIAS\A AUDITORIAS\2018\LOGOS\Logo 1\3ANG_LOGO.png">
          <a:extLst>
            <a:ext uri="{FF2B5EF4-FFF2-40B4-BE49-F238E27FC236}">
              <a16:creationId xmlns:a16="http://schemas.microsoft.com/office/drawing/2014/main" id="{86645A61-3E02-4A70-BA15-85C35D1F95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0"/>
          <a:ext cx="1704975" cy="71437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0</xdr:row>
      <xdr:rowOff>0</xdr:rowOff>
    </xdr:from>
    <xdr:to>
      <xdr:col>6</xdr:col>
      <xdr:colOff>800100</xdr:colOff>
      <xdr:row>1</xdr:row>
      <xdr:rowOff>228600</xdr:rowOff>
    </xdr:to>
    <xdr:sp macro="" textlink="">
      <xdr:nvSpPr>
        <xdr:cNvPr id="3" name="Flecha derecha 2">
          <a:hlinkClick xmlns:r="http://schemas.openxmlformats.org/officeDocument/2006/relationships" r:id="rId2"/>
          <a:extLst>
            <a:ext uri="{FF2B5EF4-FFF2-40B4-BE49-F238E27FC236}">
              <a16:creationId xmlns:a16="http://schemas.microsoft.com/office/drawing/2014/main" id="{81B2392E-870C-4E1C-ADC7-889A1CD57530}"/>
            </a:ext>
          </a:extLst>
        </xdr:cNvPr>
        <xdr:cNvSpPr/>
      </xdr:nvSpPr>
      <xdr:spPr>
        <a:xfrm>
          <a:off x="10629900" y="0"/>
          <a:ext cx="800100" cy="590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C" sz="1100"/>
            <a:t>VOLVER</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390A-120D-4E7B-8022-F8B252E4B06F}">
  <dimension ref="A1:R45"/>
  <sheetViews>
    <sheetView tabSelected="1" workbookViewId="0">
      <selection activeCell="T10" sqref="T10"/>
    </sheetView>
  </sheetViews>
  <sheetFormatPr baseColWidth="10" defaultRowHeight="15" x14ac:dyDescent="0.25"/>
  <cols>
    <col min="1" max="1" width="1.7109375" style="1" customWidth="1"/>
    <col min="2" max="2" width="2.7109375" customWidth="1"/>
    <col min="3" max="3" width="19.28515625" customWidth="1"/>
    <col min="4" max="4" width="49.140625" customWidth="1"/>
    <col min="5" max="11" width="3" customWidth="1"/>
    <col min="12" max="12" width="6.28515625" customWidth="1"/>
    <col min="13" max="13" width="4.7109375" customWidth="1"/>
    <col min="14" max="14" width="3.5703125" customWidth="1"/>
    <col min="15" max="15" width="4" customWidth="1"/>
    <col min="16" max="16" width="3.5703125" customWidth="1"/>
    <col min="17" max="17" width="21.140625" customWidth="1"/>
  </cols>
  <sheetData>
    <row r="1" spans="1:17" ht="21" x14ac:dyDescent="0.35">
      <c r="D1" s="2" t="s">
        <v>0</v>
      </c>
      <c r="E1" s="2"/>
      <c r="F1" s="2"/>
      <c r="G1" s="2"/>
      <c r="H1" s="2"/>
      <c r="I1" s="2"/>
      <c r="J1" s="2"/>
      <c r="K1" s="2"/>
      <c r="L1" s="2"/>
      <c r="M1" s="2"/>
      <c r="N1" s="2"/>
      <c r="O1" s="2"/>
      <c r="P1" s="2"/>
    </row>
    <row r="2" spans="1:17" ht="21" x14ac:dyDescent="0.35">
      <c r="D2" s="2" t="s">
        <v>1</v>
      </c>
      <c r="E2" s="2"/>
      <c r="F2" s="2"/>
      <c r="G2" s="2"/>
      <c r="H2" s="2"/>
      <c r="I2" s="2"/>
      <c r="J2" s="2"/>
      <c r="K2" s="2"/>
      <c r="L2" s="2"/>
      <c r="M2" s="2"/>
      <c r="N2" s="2"/>
      <c r="O2" s="2"/>
      <c r="P2" s="2"/>
      <c r="Q2" s="3" t="s">
        <v>2</v>
      </c>
    </row>
    <row r="3" spans="1:17" ht="9" customHeight="1" x14ac:dyDescent="0.3">
      <c r="D3" s="4"/>
      <c r="E3" s="4"/>
      <c r="F3" s="4"/>
      <c r="G3" s="4"/>
      <c r="H3" s="4"/>
      <c r="I3" s="4"/>
      <c r="J3" s="4"/>
      <c r="K3" s="4"/>
      <c r="L3" s="4"/>
      <c r="M3" s="4"/>
      <c r="N3" s="4"/>
      <c r="O3" s="4"/>
      <c r="P3" s="5" t="s">
        <v>3</v>
      </c>
      <c r="Q3" s="6"/>
    </row>
    <row r="4" spans="1:17" s="9" customFormat="1" ht="15.75" customHeight="1" x14ac:dyDescent="0.25">
      <c r="A4" s="7"/>
      <c r="B4" s="8" t="s">
        <v>4</v>
      </c>
      <c r="C4" s="8"/>
      <c r="D4" s="9" t="s">
        <v>5</v>
      </c>
      <c r="P4" s="5"/>
      <c r="Q4" s="10"/>
    </row>
    <row r="5" spans="1:17" s="9" customFormat="1" ht="15.75" customHeight="1" thickBot="1" x14ac:dyDescent="0.3">
      <c r="A5" s="7"/>
      <c r="B5" s="8" t="s">
        <v>6</v>
      </c>
      <c r="C5" s="8"/>
      <c r="D5" s="9" t="s">
        <v>7</v>
      </c>
      <c r="H5" s="11" t="s">
        <v>8</v>
      </c>
      <c r="I5" s="11"/>
      <c r="J5" s="11"/>
      <c r="K5" s="11"/>
      <c r="L5" s="12"/>
      <c r="M5" s="12" t="s">
        <v>9</v>
      </c>
      <c r="N5" s="11"/>
      <c r="O5" s="11"/>
      <c r="P5" s="11"/>
    </row>
    <row r="6" spans="1:17" s="9" customFormat="1" ht="15.75" x14ac:dyDescent="0.25">
      <c r="A6" s="7"/>
      <c r="B6" s="8" t="s">
        <v>10</v>
      </c>
      <c r="C6" s="8"/>
      <c r="D6" s="13" t="s">
        <v>11</v>
      </c>
      <c r="H6" s="14" t="s">
        <v>12</v>
      </c>
      <c r="I6" s="14"/>
      <c r="J6" s="14"/>
      <c r="K6" s="14"/>
      <c r="L6" s="15"/>
      <c r="M6" s="15"/>
      <c r="N6" s="16" t="s">
        <v>13</v>
      </c>
      <c r="O6" s="17"/>
      <c r="P6" s="17"/>
      <c r="Q6" s="18" t="s">
        <v>14</v>
      </c>
    </row>
    <row r="7" spans="1:17" s="9" customFormat="1" ht="15.75" x14ac:dyDescent="0.25">
      <c r="A7" s="7"/>
      <c r="B7" s="8" t="s">
        <v>15</v>
      </c>
      <c r="C7" s="8"/>
      <c r="D7" s="9" t="s">
        <v>16</v>
      </c>
      <c r="E7" s="13" t="s">
        <v>17</v>
      </c>
      <c r="H7" s="19">
        <v>45162</v>
      </c>
      <c r="I7" s="20"/>
      <c r="J7" s="20"/>
      <c r="K7" s="20"/>
      <c r="L7" s="19">
        <v>45162</v>
      </c>
      <c r="M7" s="19"/>
      <c r="N7" s="21"/>
      <c r="O7" s="20"/>
      <c r="P7" s="20"/>
      <c r="Q7" s="22" t="s">
        <v>18</v>
      </c>
    </row>
    <row r="8" spans="1:17" s="9" customFormat="1" ht="16.5" thickBot="1" x14ac:dyDescent="0.3">
      <c r="A8" s="7"/>
      <c r="B8" s="8" t="s">
        <v>19</v>
      </c>
      <c r="C8" s="8"/>
      <c r="D8" s="9" t="s">
        <v>20</v>
      </c>
      <c r="E8" s="13" t="s">
        <v>17</v>
      </c>
      <c r="H8" s="19">
        <f>+H7+20</f>
        <v>45182</v>
      </c>
      <c r="I8" s="20"/>
      <c r="J8" s="20"/>
      <c r="K8" s="20"/>
      <c r="L8" s="19">
        <f>+L7+1</f>
        <v>45163</v>
      </c>
      <c r="M8" s="19"/>
      <c r="N8" s="23"/>
      <c r="O8" s="24"/>
      <c r="P8" s="24"/>
      <c r="Q8" s="25"/>
    </row>
    <row r="9" spans="1:17" s="9" customFormat="1" ht="17.25" x14ac:dyDescent="0.25">
      <c r="A9" s="7">
        <v>1</v>
      </c>
      <c r="B9" s="26" t="s">
        <v>21</v>
      </c>
      <c r="C9" s="26"/>
      <c r="D9" s="27" t="s">
        <v>22</v>
      </c>
      <c r="E9" s="27"/>
      <c r="F9" s="27"/>
      <c r="G9" s="27"/>
      <c r="H9" s="27"/>
      <c r="I9" s="27"/>
      <c r="J9" s="27"/>
      <c r="K9" s="27"/>
      <c r="L9" s="27"/>
      <c r="M9" s="27"/>
      <c r="N9" s="27"/>
      <c r="O9" s="27"/>
      <c r="P9" s="27"/>
      <c r="Q9" s="27"/>
    </row>
    <row r="10" spans="1:17" s="9" customFormat="1" ht="33" x14ac:dyDescent="0.25">
      <c r="A10" s="7">
        <v>11</v>
      </c>
      <c r="B10" s="26"/>
      <c r="C10" s="26"/>
      <c r="D10" s="27" t="s">
        <v>23</v>
      </c>
      <c r="E10" s="27"/>
      <c r="F10" s="27"/>
      <c r="G10" s="27"/>
      <c r="H10" s="27"/>
      <c r="I10" s="27"/>
      <c r="J10" s="27"/>
      <c r="K10" s="27"/>
      <c r="L10" s="27"/>
      <c r="M10" s="27"/>
      <c r="N10" s="27"/>
      <c r="O10" s="27"/>
      <c r="P10" s="27"/>
      <c r="Q10" s="27"/>
    </row>
    <row r="11" spans="1:17" s="9" customFormat="1" ht="15.75" x14ac:dyDescent="0.25">
      <c r="A11" s="28"/>
      <c r="B11" s="29"/>
      <c r="C11" s="29"/>
      <c r="D11" s="30" t="s">
        <v>24</v>
      </c>
      <c r="E11" s="31"/>
      <c r="F11" s="31"/>
      <c r="G11" s="31"/>
      <c r="H11" s="31"/>
      <c r="I11" s="31"/>
      <c r="J11" s="31"/>
      <c r="K11" s="31"/>
      <c r="L11" s="31"/>
      <c r="M11" s="31"/>
      <c r="N11" s="31"/>
      <c r="O11" s="31"/>
      <c r="P11" s="31"/>
    </row>
    <row r="12" spans="1:17" s="33" customFormat="1" ht="15" customHeight="1" x14ac:dyDescent="0.2">
      <c r="A12" s="28"/>
      <c r="B12" s="32" t="s">
        <v>25</v>
      </c>
      <c r="C12" s="32"/>
      <c r="D12" s="32"/>
      <c r="I12" s="34" t="s">
        <v>26</v>
      </c>
      <c r="N12" s="34" t="s">
        <v>27</v>
      </c>
    </row>
    <row r="13" spans="1:17" s="33" customFormat="1" ht="14.25" x14ac:dyDescent="0.2">
      <c r="A13" s="28"/>
      <c r="B13" s="35" t="s">
        <v>28</v>
      </c>
      <c r="C13" s="33" t="s">
        <v>29</v>
      </c>
      <c r="D13" s="33" t="s">
        <v>30</v>
      </c>
      <c r="E13" s="36" t="s">
        <v>31</v>
      </c>
      <c r="H13" s="37"/>
      <c r="I13" s="38" t="s">
        <v>32</v>
      </c>
      <c r="K13" s="37"/>
      <c r="L13" s="37"/>
      <c r="N13" s="39" t="s">
        <v>33</v>
      </c>
      <c r="O13" s="38"/>
    </row>
    <row r="14" spans="1:17" s="33" customFormat="1" ht="12.75" x14ac:dyDescent="0.2">
      <c r="A14" s="28"/>
      <c r="B14" s="35" t="s">
        <v>34</v>
      </c>
      <c r="C14" s="33" t="s">
        <v>35</v>
      </c>
      <c r="D14" s="33" t="s">
        <v>36</v>
      </c>
      <c r="H14" s="37"/>
      <c r="I14" s="38" t="s">
        <v>9</v>
      </c>
      <c r="J14" s="40"/>
      <c r="K14" s="37"/>
      <c r="L14" s="37"/>
      <c r="M14" s="41" t="s">
        <v>37</v>
      </c>
      <c r="N14" s="38" t="s">
        <v>38</v>
      </c>
      <c r="O14" s="38"/>
    </row>
    <row r="15" spans="1:17" s="33" customFormat="1" ht="12.75" x14ac:dyDescent="0.2">
      <c r="A15" s="28"/>
      <c r="B15" s="35" t="s">
        <v>37</v>
      </c>
      <c r="C15" s="33" t="s">
        <v>39</v>
      </c>
      <c r="D15" s="33" t="s">
        <v>40</v>
      </c>
      <c r="H15" s="37"/>
      <c r="I15" s="38" t="s">
        <v>41</v>
      </c>
      <c r="J15" s="40"/>
      <c r="K15" s="37"/>
      <c r="L15" s="37"/>
      <c r="M15" s="41" t="s">
        <v>42</v>
      </c>
      <c r="N15" s="38" t="s">
        <v>43</v>
      </c>
      <c r="O15" s="38"/>
    </row>
    <row r="16" spans="1:17" s="33" customFormat="1" ht="12.75" x14ac:dyDescent="0.2">
      <c r="A16" s="28"/>
      <c r="C16" s="35"/>
      <c r="D16" s="33" t="s">
        <v>44</v>
      </c>
      <c r="H16" s="37"/>
      <c r="I16" s="38"/>
      <c r="J16" s="40"/>
      <c r="K16" s="37"/>
      <c r="L16" s="37"/>
      <c r="M16" s="41" t="s">
        <v>45</v>
      </c>
      <c r="N16" s="39" t="s">
        <v>46</v>
      </c>
      <c r="O16" s="38"/>
    </row>
    <row r="17" spans="1:18" s="33" customFormat="1" ht="6.75" customHeight="1" thickBot="1" x14ac:dyDescent="0.25">
      <c r="A17" s="42"/>
      <c r="C17" s="35"/>
    </row>
    <row r="18" spans="1:18" ht="15.75" x14ac:dyDescent="0.25">
      <c r="C18" s="43" t="s">
        <v>47</v>
      </c>
      <c r="D18" s="44"/>
      <c r="E18" s="45" t="s">
        <v>48</v>
      </c>
      <c r="F18" s="46"/>
      <c r="G18" s="46"/>
      <c r="H18" s="46"/>
      <c r="I18" s="46"/>
      <c r="J18" s="46"/>
      <c r="K18" s="46"/>
      <c r="L18" s="47" t="s">
        <v>49</v>
      </c>
      <c r="M18" s="48"/>
      <c r="N18" s="45" t="s">
        <v>50</v>
      </c>
      <c r="O18" s="46"/>
      <c r="P18" s="46"/>
      <c r="Q18" s="49" t="s">
        <v>26</v>
      </c>
    </row>
    <row r="19" spans="1:18" ht="16.5" thickBot="1" x14ac:dyDescent="0.3">
      <c r="C19" s="50"/>
      <c r="D19" s="51"/>
      <c r="E19" s="52" t="s">
        <v>28</v>
      </c>
      <c r="F19" s="53" t="s">
        <v>34</v>
      </c>
      <c r="G19" s="53" t="s">
        <v>37</v>
      </c>
      <c r="H19" s="53" t="s">
        <v>51</v>
      </c>
      <c r="I19" s="53" t="s">
        <v>52</v>
      </c>
      <c r="J19" s="53" t="s">
        <v>53</v>
      </c>
      <c r="K19" s="53" t="s">
        <v>45</v>
      </c>
      <c r="L19" s="54"/>
      <c r="M19" s="55"/>
      <c r="N19" s="52" t="s">
        <v>37</v>
      </c>
      <c r="O19" s="53" t="s">
        <v>42</v>
      </c>
      <c r="P19" s="53" t="s">
        <v>45</v>
      </c>
      <c r="Q19" s="56"/>
    </row>
    <row r="20" spans="1:18" s="9" customFormat="1" ht="16.5" thickBot="1" x14ac:dyDescent="0.3">
      <c r="A20" s="7"/>
      <c r="C20" s="57" t="s">
        <v>54</v>
      </c>
      <c r="D20" s="58"/>
      <c r="E20" s="59"/>
      <c r="F20" s="60"/>
      <c r="G20" s="60"/>
      <c r="H20" s="60"/>
      <c r="I20" s="60"/>
      <c r="J20" s="60"/>
      <c r="K20" s="60"/>
      <c r="L20" s="61"/>
      <c r="M20" s="62"/>
      <c r="N20" s="59"/>
      <c r="O20" s="60"/>
      <c r="P20" s="60"/>
      <c r="Q20" s="63"/>
      <c r="R20"/>
    </row>
    <row r="21" spans="1:18" s="9" customFormat="1" ht="15.75" x14ac:dyDescent="0.25">
      <c r="A21" s="7"/>
      <c r="C21" s="57" t="s">
        <v>55</v>
      </c>
      <c r="D21" s="58"/>
      <c r="E21" s="59"/>
      <c r="F21" s="60"/>
      <c r="G21" s="60"/>
      <c r="H21" s="60"/>
      <c r="I21" s="60"/>
      <c r="J21" s="60"/>
      <c r="K21" s="60"/>
      <c r="L21" s="64" t="s">
        <v>56</v>
      </c>
      <c r="M21" s="65">
        <v>1</v>
      </c>
      <c r="N21" s="59"/>
      <c r="O21" s="60"/>
      <c r="P21" s="60"/>
      <c r="Q21" s="66"/>
      <c r="R21"/>
    </row>
    <row r="22" spans="1:18" s="9" customFormat="1" ht="33" x14ac:dyDescent="0.25">
      <c r="A22" s="7">
        <v>11</v>
      </c>
      <c r="C22" s="67" t="s">
        <v>57</v>
      </c>
      <c r="D22" s="68"/>
      <c r="E22" s="69"/>
      <c r="F22" s="70"/>
      <c r="G22" s="70"/>
      <c r="H22" s="70"/>
      <c r="I22" s="70"/>
      <c r="J22" s="70"/>
      <c r="K22" s="70"/>
      <c r="L22" s="64" t="s">
        <v>56</v>
      </c>
      <c r="M22" s="65">
        <v>1</v>
      </c>
      <c r="N22" s="69"/>
      <c r="O22" s="70"/>
      <c r="P22" s="70"/>
      <c r="Q22" s="66"/>
      <c r="R22"/>
    </row>
    <row r="23" spans="1:18" s="9" customFormat="1" ht="33" x14ac:dyDescent="0.25">
      <c r="A23" s="7">
        <v>11</v>
      </c>
      <c r="C23" s="67" t="s">
        <v>58</v>
      </c>
      <c r="D23" s="68"/>
      <c r="E23" s="69"/>
      <c r="F23" s="70"/>
      <c r="G23" s="70"/>
      <c r="H23" s="70"/>
      <c r="I23" s="70"/>
      <c r="J23" s="70"/>
      <c r="K23" s="70"/>
      <c r="L23" s="64" t="s">
        <v>56</v>
      </c>
      <c r="M23" s="71"/>
      <c r="N23" s="69"/>
      <c r="O23" s="70"/>
      <c r="P23" s="70"/>
      <c r="Q23" s="66"/>
    </row>
    <row r="24" spans="1:18" s="9" customFormat="1" ht="48.75" x14ac:dyDescent="0.25">
      <c r="A24" s="7">
        <v>111</v>
      </c>
      <c r="C24" s="67" t="s">
        <v>59</v>
      </c>
      <c r="D24" s="68"/>
      <c r="E24" s="69"/>
      <c r="F24" s="70"/>
      <c r="G24" s="70"/>
      <c r="H24" s="70"/>
      <c r="I24" s="70"/>
      <c r="J24" s="70"/>
      <c r="K24" s="70"/>
      <c r="L24" s="64" t="s">
        <v>56</v>
      </c>
      <c r="M24" s="71"/>
      <c r="N24" s="69"/>
      <c r="O24" s="70"/>
      <c r="P24" s="70"/>
      <c r="Q24" s="66"/>
    </row>
    <row r="25" spans="1:18" s="9" customFormat="1" ht="17.25" x14ac:dyDescent="0.25">
      <c r="A25" s="7">
        <v>1</v>
      </c>
      <c r="C25" s="67" t="s">
        <v>60</v>
      </c>
      <c r="D25" s="68"/>
      <c r="E25" s="69"/>
      <c r="F25" s="70"/>
      <c r="G25" s="70"/>
      <c r="H25" s="70"/>
      <c r="I25" s="70"/>
      <c r="J25" s="70"/>
      <c r="K25" s="70"/>
      <c r="L25" s="64" t="s">
        <v>56</v>
      </c>
      <c r="M25" s="71"/>
      <c r="N25" s="69"/>
      <c r="O25" s="70"/>
      <c r="P25" s="70"/>
      <c r="Q25" s="66"/>
    </row>
    <row r="26" spans="1:18" s="9" customFormat="1" ht="48.75" x14ac:dyDescent="0.25">
      <c r="A26" s="7">
        <v>111</v>
      </c>
      <c r="C26" s="67" t="s">
        <v>61</v>
      </c>
      <c r="D26" s="68"/>
      <c r="E26" s="69"/>
      <c r="F26" s="70"/>
      <c r="G26" s="70"/>
      <c r="H26" s="70"/>
      <c r="I26" s="70"/>
      <c r="J26" s="70"/>
      <c r="K26" s="70"/>
      <c r="L26" s="64" t="s">
        <v>56</v>
      </c>
      <c r="M26" s="71"/>
      <c r="N26" s="69"/>
      <c r="O26" s="70"/>
      <c r="P26" s="70"/>
      <c r="Q26" s="66"/>
    </row>
    <row r="27" spans="1:18" s="9" customFormat="1" ht="33" x14ac:dyDescent="0.25">
      <c r="A27" s="7">
        <v>11</v>
      </c>
      <c r="C27" s="67" t="s">
        <v>62</v>
      </c>
      <c r="D27" s="68"/>
      <c r="E27" s="69"/>
      <c r="F27" s="70"/>
      <c r="G27" s="70"/>
      <c r="H27" s="70"/>
      <c r="I27" s="70"/>
      <c r="J27" s="70"/>
      <c r="K27" s="70"/>
      <c r="L27" s="64" t="s">
        <v>56</v>
      </c>
      <c r="M27" s="71"/>
      <c r="N27" s="69"/>
      <c r="O27" s="70"/>
      <c r="P27" s="70"/>
      <c r="Q27" s="66"/>
    </row>
    <row r="28" spans="1:18" s="9" customFormat="1" ht="80.25" x14ac:dyDescent="0.25">
      <c r="A28" s="7">
        <v>11111</v>
      </c>
      <c r="C28" s="67" t="s">
        <v>63</v>
      </c>
      <c r="D28" s="68"/>
      <c r="E28" s="69"/>
      <c r="F28" s="70"/>
      <c r="G28" s="70"/>
      <c r="H28" s="70"/>
      <c r="I28" s="70"/>
      <c r="J28" s="70"/>
      <c r="K28" s="70"/>
      <c r="L28" s="72"/>
      <c r="M28" s="71"/>
      <c r="N28" s="69"/>
      <c r="O28" s="70"/>
      <c r="P28" s="70"/>
      <c r="Q28" s="66"/>
    </row>
    <row r="29" spans="1:18" s="9" customFormat="1" ht="33" x14ac:dyDescent="0.25">
      <c r="A29" s="7">
        <v>11</v>
      </c>
      <c r="C29" s="67" t="s">
        <v>64</v>
      </c>
      <c r="D29" s="68"/>
      <c r="E29" s="69"/>
      <c r="F29" s="70"/>
      <c r="G29" s="70"/>
      <c r="H29" s="70"/>
      <c r="I29" s="70"/>
      <c r="J29" s="70"/>
      <c r="K29" s="70"/>
      <c r="L29" s="64" t="s">
        <v>56</v>
      </c>
      <c r="M29" s="71"/>
      <c r="N29" s="69"/>
      <c r="O29" s="70"/>
      <c r="P29" s="70"/>
      <c r="Q29" s="66"/>
    </row>
    <row r="30" spans="1:18" s="9" customFormat="1" ht="16.5" customHeight="1" x14ac:dyDescent="0.25">
      <c r="A30" s="7"/>
      <c r="C30" s="67" t="s">
        <v>65</v>
      </c>
      <c r="D30" s="68"/>
      <c r="E30" s="69"/>
      <c r="F30" s="70"/>
      <c r="G30" s="70"/>
      <c r="H30" s="70"/>
      <c r="I30" s="70"/>
      <c r="J30" s="70"/>
      <c r="K30" s="70"/>
      <c r="L30" s="64" t="s">
        <v>56</v>
      </c>
      <c r="M30" s="71"/>
      <c r="N30" s="69"/>
      <c r="O30" s="70"/>
      <c r="P30" s="70"/>
      <c r="Q30" s="66"/>
    </row>
    <row r="31" spans="1:18" s="9" customFormat="1" ht="33" x14ac:dyDescent="0.25">
      <c r="A31" s="7">
        <v>11</v>
      </c>
      <c r="C31" s="67" t="s">
        <v>66</v>
      </c>
      <c r="D31" s="68"/>
      <c r="E31" s="69"/>
      <c r="F31" s="70"/>
      <c r="G31" s="70"/>
      <c r="H31" s="70"/>
      <c r="I31" s="70"/>
      <c r="J31" s="70"/>
      <c r="K31" s="70"/>
      <c r="L31" s="64" t="s">
        <v>56</v>
      </c>
      <c r="M31" s="71"/>
      <c r="N31" s="69"/>
      <c r="O31" s="70"/>
      <c r="P31" s="70"/>
      <c r="Q31" s="66"/>
    </row>
    <row r="32" spans="1:18" s="9" customFormat="1" ht="33" x14ac:dyDescent="0.25">
      <c r="A32" s="7">
        <v>11</v>
      </c>
      <c r="C32" s="67" t="s">
        <v>67</v>
      </c>
      <c r="D32" s="68"/>
      <c r="E32" s="69"/>
      <c r="F32" s="70"/>
      <c r="G32" s="70"/>
      <c r="H32" s="70"/>
      <c r="I32" s="70"/>
      <c r="J32" s="70"/>
      <c r="K32" s="70"/>
      <c r="L32" s="64" t="s">
        <v>56</v>
      </c>
      <c r="M32" s="71"/>
      <c r="N32" s="69"/>
      <c r="O32" s="70"/>
      <c r="P32" s="70"/>
      <c r="Q32" s="66"/>
    </row>
    <row r="33" spans="1:18" s="9" customFormat="1" ht="48.75" x14ac:dyDescent="0.25">
      <c r="A33" s="7">
        <v>111</v>
      </c>
      <c r="C33" s="67" t="s">
        <v>68</v>
      </c>
      <c r="D33" s="68"/>
      <c r="E33" s="69"/>
      <c r="F33" s="70"/>
      <c r="G33" s="70"/>
      <c r="H33" s="70"/>
      <c r="I33" s="70"/>
      <c r="J33" s="70"/>
      <c r="K33" s="70"/>
      <c r="L33" s="72"/>
      <c r="M33" s="71"/>
      <c r="N33" s="69"/>
      <c r="O33" s="70"/>
      <c r="P33" s="70"/>
      <c r="Q33" s="66"/>
    </row>
    <row r="34" spans="1:18" s="9" customFormat="1" ht="15.75" x14ac:dyDescent="0.25">
      <c r="A34" s="7"/>
      <c r="C34" s="67" t="s">
        <v>69</v>
      </c>
      <c r="D34" s="68"/>
      <c r="E34" s="69"/>
      <c r="F34" s="70"/>
      <c r="G34" s="70"/>
      <c r="H34" s="70"/>
      <c r="I34" s="70"/>
      <c r="J34" s="70"/>
      <c r="K34" s="70"/>
      <c r="L34" s="64" t="s">
        <v>56</v>
      </c>
      <c r="M34" s="71"/>
      <c r="N34" s="69"/>
      <c r="O34" s="70"/>
      <c r="P34" s="70"/>
      <c r="Q34" s="66"/>
    </row>
    <row r="35" spans="1:18" s="9" customFormat="1" ht="17.25" x14ac:dyDescent="0.25">
      <c r="A35" s="7">
        <v>1</v>
      </c>
      <c r="C35" s="67" t="s">
        <v>70</v>
      </c>
      <c r="D35" s="68"/>
      <c r="E35" s="69"/>
      <c r="F35" s="70"/>
      <c r="G35" s="70"/>
      <c r="H35" s="70"/>
      <c r="I35" s="70"/>
      <c r="J35" s="70"/>
      <c r="K35" s="70"/>
      <c r="L35" s="64" t="s">
        <v>56</v>
      </c>
      <c r="M35" s="71"/>
      <c r="N35" s="69"/>
      <c r="O35" s="70"/>
      <c r="P35" s="70"/>
      <c r="Q35" s="66"/>
    </row>
    <row r="36" spans="1:18" s="9" customFormat="1" ht="33" x14ac:dyDescent="0.25">
      <c r="A36" s="7">
        <v>11</v>
      </c>
      <c r="C36" s="67" t="s">
        <v>71</v>
      </c>
      <c r="D36" s="68"/>
      <c r="E36" s="69"/>
      <c r="F36" s="70"/>
      <c r="G36" s="70"/>
      <c r="H36" s="70"/>
      <c r="I36" s="70"/>
      <c r="J36" s="70"/>
      <c r="K36" s="70"/>
      <c r="L36" s="64" t="s">
        <v>56</v>
      </c>
      <c r="M36" s="71"/>
      <c r="N36" s="69"/>
      <c r="O36" s="70"/>
      <c r="P36" s="70"/>
      <c r="Q36" s="66"/>
    </row>
    <row r="37" spans="1:18" s="9" customFormat="1" ht="15.75" x14ac:dyDescent="0.25">
      <c r="A37" s="7"/>
      <c r="C37" s="67" t="s">
        <v>72</v>
      </c>
      <c r="D37" s="68"/>
      <c r="E37" s="69"/>
      <c r="F37" s="70"/>
      <c r="G37" s="70"/>
      <c r="H37" s="70"/>
      <c r="I37" s="70"/>
      <c r="J37" s="70"/>
      <c r="K37" s="70"/>
      <c r="L37" s="64" t="s">
        <v>56</v>
      </c>
      <c r="M37" s="71"/>
      <c r="N37" s="69"/>
      <c r="O37" s="70"/>
      <c r="P37" s="70"/>
      <c r="Q37" s="66"/>
    </row>
    <row r="38" spans="1:18" s="9" customFormat="1" ht="16.5" thickBot="1" x14ac:dyDescent="0.3">
      <c r="A38" s="7"/>
      <c r="C38" s="73"/>
      <c r="D38" s="74"/>
      <c r="E38" s="75"/>
      <c r="F38" s="76"/>
      <c r="G38" s="76"/>
      <c r="H38" s="76"/>
      <c r="I38" s="76"/>
      <c r="J38" s="76"/>
      <c r="K38" s="76"/>
      <c r="L38" s="77"/>
      <c r="M38" s="78"/>
      <c r="N38" s="75"/>
      <c r="O38" s="76"/>
      <c r="P38" s="76"/>
      <c r="Q38" s="79"/>
      <c r="R38"/>
    </row>
    <row r="39" spans="1:18" s="9" customFormat="1" ht="16.5" thickBot="1" x14ac:dyDescent="0.3">
      <c r="A39" s="7"/>
      <c r="C39" s="80" t="s">
        <v>73</v>
      </c>
      <c r="D39" s="80"/>
      <c r="R39"/>
    </row>
    <row r="40" spans="1:18" s="9" customFormat="1" ht="49.5" thickBot="1" x14ac:dyDescent="0.3">
      <c r="A40" s="7">
        <v>111</v>
      </c>
      <c r="C40" s="81"/>
      <c r="D40" s="82"/>
      <c r="E40" s="82"/>
      <c r="F40" s="82"/>
      <c r="G40" s="82"/>
      <c r="H40" s="82"/>
      <c r="I40" s="82"/>
      <c r="J40" s="82"/>
      <c r="K40" s="82"/>
      <c r="L40" s="82"/>
      <c r="M40" s="82"/>
      <c r="N40" s="82"/>
      <c r="O40" s="82"/>
      <c r="P40" s="82"/>
      <c r="Q40" s="83"/>
      <c r="R40"/>
    </row>
    <row r="41" spans="1:18" s="9" customFormat="1" ht="15.75" x14ac:dyDescent="0.25">
      <c r="A41" s="7"/>
      <c r="R41"/>
    </row>
    <row r="42" spans="1:18" s="9" customFormat="1" ht="15.75" x14ac:dyDescent="0.25">
      <c r="A42" s="7"/>
      <c r="R42"/>
    </row>
    <row r="43" spans="1:18" s="9" customFormat="1" ht="15.75" x14ac:dyDescent="0.25">
      <c r="A43" s="7"/>
      <c r="R43"/>
    </row>
    <row r="44" spans="1:18" s="9" customFormat="1" ht="15.75" x14ac:dyDescent="0.25">
      <c r="A44" s="7"/>
      <c r="R44"/>
    </row>
    <row r="45" spans="1:18" s="9" customFormat="1" ht="15.75" x14ac:dyDescent="0.25">
      <c r="A45" s="7"/>
      <c r="R45"/>
    </row>
  </sheetData>
  <mergeCells count="44">
    <mergeCell ref="C38:D38"/>
    <mergeCell ref="C39:D39"/>
    <mergeCell ref="C40:Q40"/>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B9:C10"/>
    <mergeCell ref="D9:Q9"/>
    <mergeCell ref="D10:Q10"/>
    <mergeCell ref="B12:D12"/>
    <mergeCell ref="C18:D19"/>
    <mergeCell ref="E18:K18"/>
    <mergeCell ref="L18:M19"/>
    <mergeCell ref="N18:P18"/>
    <mergeCell ref="Q18:Q19"/>
    <mergeCell ref="H6:K6"/>
    <mergeCell ref="N6:P6"/>
    <mergeCell ref="H7:K7"/>
    <mergeCell ref="L7:M7"/>
    <mergeCell ref="N7:P7"/>
    <mergeCell ref="H8:K8"/>
    <mergeCell ref="L8:M8"/>
    <mergeCell ref="N8:P8"/>
    <mergeCell ref="D1:P1"/>
    <mergeCell ref="D2:P2"/>
    <mergeCell ref="Q2:Q4"/>
    <mergeCell ref="P3:P4"/>
    <mergeCell ref="H5:K5"/>
    <mergeCell ref="N5:P5"/>
  </mergeCells>
  <conditionalFormatting sqref="C25:D25">
    <cfRule type="duplicateValues" dxfId="3" priority="1"/>
    <cfRule type="duplicateValues" dxfId="2" priority="2"/>
  </conditionalFormatting>
  <conditionalFormatting sqref="C26:D37 C20:D24">
    <cfRule type="duplicateValues" dxfId="1" priority="3"/>
    <cfRule type="duplicateValues" dxfId="0" priority="4"/>
  </conditionalFormatting>
  <dataValidations count="1">
    <dataValidation type="list" allowBlank="1" showInputMessage="1" showErrorMessage="1" sqref="Q21:Q37" xr:uid="{32920C3B-8F13-42C6-A2AE-25F1CD2D3881}">
      <formula1>$I$13:$I$15</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4A03-5280-47F1-91E9-E01922061ED5}">
  <sheetPr>
    <tabColor rgb="FF00FF00"/>
  </sheetPr>
  <dimension ref="A1:S35"/>
  <sheetViews>
    <sheetView workbookViewId="0">
      <selection activeCell="C18" sqref="C18:E18"/>
    </sheetView>
  </sheetViews>
  <sheetFormatPr baseColWidth="10" defaultRowHeight="18.75" customHeight="1" x14ac:dyDescent="0.25"/>
  <cols>
    <col min="1" max="1" width="3.7109375" style="97" customWidth="1"/>
    <col min="2" max="2" width="27.7109375" style="177" customWidth="1"/>
    <col min="3" max="3" width="15.85546875" style="157" customWidth="1"/>
    <col min="4" max="4" width="82" style="178" customWidth="1"/>
    <col min="5" max="5" width="13.7109375" style="9" customWidth="1"/>
    <col min="6" max="6" width="16.42578125" style="9" customWidth="1"/>
    <col min="7" max="7" width="22.28515625" style="9" customWidth="1"/>
    <col min="8" max="8" width="21.28515625" style="9" customWidth="1"/>
    <col min="9" max="256" width="11.42578125" style="9"/>
    <col min="257" max="257" width="3.7109375" style="9" customWidth="1"/>
    <col min="258" max="258" width="27.7109375" style="9" customWidth="1"/>
    <col min="259" max="259" width="15.85546875" style="9" customWidth="1"/>
    <col min="260" max="260" width="82" style="9" customWidth="1"/>
    <col min="261" max="261" width="13.7109375" style="9" customWidth="1"/>
    <col min="262" max="262" width="16.42578125" style="9" customWidth="1"/>
    <col min="263" max="263" width="22.28515625" style="9" customWidth="1"/>
    <col min="264" max="264" width="21.28515625" style="9" customWidth="1"/>
    <col min="265" max="512" width="11.42578125" style="9"/>
    <col min="513" max="513" width="3.7109375" style="9" customWidth="1"/>
    <col min="514" max="514" width="27.7109375" style="9" customWidth="1"/>
    <col min="515" max="515" width="15.85546875" style="9" customWidth="1"/>
    <col min="516" max="516" width="82" style="9" customWidth="1"/>
    <col min="517" max="517" width="13.7109375" style="9" customWidth="1"/>
    <col min="518" max="518" width="16.42578125" style="9" customWidth="1"/>
    <col min="519" max="519" width="22.28515625" style="9" customWidth="1"/>
    <col min="520" max="520" width="21.28515625" style="9" customWidth="1"/>
    <col min="521" max="768" width="11.42578125" style="9"/>
    <col min="769" max="769" width="3.7109375" style="9" customWidth="1"/>
    <col min="770" max="770" width="27.7109375" style="9" customWidth="1"/>
    <col min="771" max="771" width="15.85546875" style="9" customWidth="1"/>
    <col min="772" max="772" width="82" style="9" customWidth="1"/>
    <col min="773" max="773" width="13.7109375" style="9" customWidth="1"/>
    <col min="774" max="774" width="16.42578125" style="9" customWidth="1"/>
    <col min="775" max="775" width="22.28515625" style="9" customWidth="1"/>
    <col min="776" max="776" width="21.28515625" style="9" customWidth="1"/>
    <col min="777" max="1024" width="11.42578125" style="9"/>
    <col min="1025" max="1025" width="3.7109375" style="9" customWidth="1"/>
    <col min="1026" max="1026" width="27.7109375" style="9" customWidth="1"/>
    <col min="1027" max="1027" width="15.85546875" style="9" customWidth="1"/>
    <col min="1028" max="1028" width="82" style="9" customWidth="1"/>
    <col min="1029" max="1029" width="13.7109375" style="9" customWidth="1"/>
    <col min="1030" max="1030" width="16.42578125" style="9" customWidth="1"/>
    <col min="1031" max="1031" width="22.28515625" style="9" customWidth="1"/>
    <col min="1032" max="1032" width="21.28515625" style="9" customWidth="1"/>
    <col min="1033" max="1280" width="11.42578125" style="9"/>
    <col min="1281" max="1281" width="3.7109375" style="9" customWidth="1"/>
    <col min="1282" max="1282" width="27.7109375" style="9" customWidth="1"/>
    <col min="1283" max="1283" width="15.85546875" style="9" customWidth="1"/>
    <col min="1284" max="1284" width="82" style="9" customWidth="1"/>
    <col min="1285" max="1285" width="13.7109375" style="9" customWidth="1"/>
    <col min="1286" max="1286" width="16.42578125" style="9" customWidth="1"/>
    <col min="1287" max="1287" width="22.28515625" style="9" customWidth="1"/>
    <col min="1288" max="1288" width="21.28515625" style="9" customWidth="1"/>
    <col min="1289" max="1536" width="11.42578125" style="9"/>
    <col min="1537" max="1537" width="3.7109375" style="9" customWidth="1"/>
    <col min="1538" max="1538" width="27.7109375" style="9" customWidth="1"/>
    <col min="1539" max="1539" width="15.85546875" style="9" customWidth="1"/>
    <col min="1540" max="1540" width="82" style="9" customWidth="1"/>
    <col min="1541" max="1541" width="13.7109375" style="9" customWidth="1"/>
    <col min="1542" max="1542" width="16.42578125" style="9" customWidth="1"/>
    <col min="1543" max="1543" width="22.28515625" style="9" customWidth="1"/>
    <col min="1544" max="1544" width="21.28515625" style="9" customWidth="1"/>
    <col min="1545" max="1792" width="11.42578125" style="9"/>
    <col min="1793" max="1793" width="3.7109375" style="9" customWidth="1"/>
    <col min="1794" max="1794" width="27.7109375" style="9" customWidth="1"/>
    <col min="1795" max="1795" width="15.85546875" style="9" customWidth="1"/>
    <col min="1796" max="1796" width="82" style="9" customWidth="1"/>
    <col min="1797" max="1797" width="13.7109375" style="9" customWidth="1"/>
    <col min="1798" max="1798" width="16.42578125" style="9" customWidth="1"/>
    <col min="1799" max="1799" width="22.28515625" style="9" customWidth="1"/>
    <col min="1800" max="1800" width="21.28515625" style="9" customWidth="1"/>
    <col min="1801" max="2048" width="11.42578125" style="9"/>
    <col min="2049" max="2049" width="3.7109375" style="9" customWidth="1"/>
    <col min="2050" max="2050" width="27.7109375" style="9" customWidth="1"/>
    <col min="2051" max="2051" width="15.85546875" style="9" customWidth="1"/>
    <col min="2052" max="2052" width="82" style="9" customWidth="1"/>
    <col min="2053" max="2053" width="13.7109375" style="9" customWidth="1"/>
    <col min="2054" max="2054" width="16.42578125" style="9" customWidth="1"/>
    <col min="2055" max="2055" width="22.28515625" style="9" customWidth="1"/>
    <col min="2056" max="2056" width="21.28515625" style="9" customWidth="1"/>
    <col min="2057" max="2304" width="11.42578125" style="9"/>
    <col min="2305" max="2305" width="3.7109375" style="9" customWidth="1"/>
    <col min="2306" max="2306" width="27.7109375" style="9" customWidth="1"/>
    <col min="2307" max="2307" width="15.85546875" style="9" customWidth="1"/>
    <col min="2308" max="2308" width="82" style="9" customWidth="1"/>
    <col min="2309" max="2309" width="13.7109375" style="9" customWidth="1"/>
    <col min="2310" max="2310" width="16.42578125" style="9" customWidth="1"/>
    <col min="2311" max="2311" width="22.28515625" style="9" customWidth="1"/>
    <col min="2312" max="2312" width="21.28515625" style="9" customWidth="1"/>
    <col min="2313" max="2560" width="11.42578125" style="9"/>
    <col min="2561" max="2561" width="3.7109375" style="9" customWidth="1"/>
    <col min="2562" max="2562" width="27.7109375" style="9" customWidth="1"/>
    <col min="2563" max="2563" width="15.85546875" style="9" customWidth="1"/>
    <col min="2564" max="2564" width="82" style="9" customWidth="1"/>
    <col min="2565" max="2565" width="13.7109375" style="9" customWidth="1"/>
    <col min="2566" max="2566" width="16.42578125" style="9" customWidth="1"/>
    <col min="2567" max="2567" width="22.28515625" style="9" customWidth="1"/>
    <col min="2568" max="2568" width="21.28515625" style="9" customWidth="1"/>
    <col min="2569" max="2816" width="11.42578125" style="9"/>
    <col min="2817" max="2817" width="3.7109375" style="9" customWidth="1"/>
    <col min="2818" max="2818" width="27.7109375" style="9" customWidth="1"/>
    <col min="2819" max="2819" width="15.85546875" style="9" customWidth="1"/>
    <col min="2820" max="2820" width="82" style="9" customWidth="1"/>
    <col min="2821" max="2821" width="13.7109375" style="9" customWidth="1"/>
    <col min="2822" max="2822" width="16.42578125" style="9" customWidth="1"/>
    <col min="2823" max="2823" width="22.28515625" style="9" customWidth="1"/>
    <col min="2824" max="2824" width="21.28515625" style="9" customWidth="1"/>
    <col min="2825" max="3072" width="11.42578125" style="9"/>
    <col min="3073" max="3073" width="3.7109375" style="9" customWidth="1"/>
    <col min="3074" max="3074" width="27.7109375" style="9" customWidth="1"/>
    <col min="3075" max="3075" width="15.85546875" style="9" customWidth="1"/>
    <col min="3076" max="3076" width="82" style="9" customWidth="1"/>
    <col min="3077" max="3077" width="13.7109375" style="9" customWidth="1"/>
    <col min="3078" max="3078" width="16.42578125" style="9" customWidth="1"/>
    <col min="3079" max="3079" width="22.28515625" style="9" customWidth="1"/>
    <col min="3080" max="3080" width="21.28515625" style="9" customWidth="1"/>
    <col min="3081" max="3328" width="11.42578125" style="9"/>
    <col min="3329" max="3329" width="3.7109375" style="9" customWidth="1"/>
    <col min="3330" max="3330" width="27.7109375" style="9" customWidth="1"/>
    <col min="3331" max="3331" width="15.85546875" style="9" customWidth="1"/>
    <col min="3332" max="3332" width="82" style="9" customWidth="1"/>
    <col min="3333" max="3333" width="13.7109375" style="9" customWidth="1"/>
    <col min="3334" max="3334" width="16.42578125" style="9" customWidth="1"/>
    <col min="3335" max="3335" width="22.28515625" style="9" customWidth="1"/>
    <col min="3336" max="3336" width="21.28515625" style="9" customWidth="1"/>
    <col min="3337" max="3584" width="11.42578125" style="9"/>
    <col min="3585" max="3585" width="3.7109375" style="9" customWidth="1"/>
    <col min="3586" max="3586" width="27.7109375" style="9" customWidth="1"/>
    <col min="3587" max="3587" width="15.85546875" style="9" customWidth="1"/>
    <col min="3588" max="3588" width="82" style="9" customWidth="1"/>
    <col min="3589" max="3589" width="13.7109375" style="9" customWidth="1"/>
    <col min="3590" max="3590" width="16.42578125" style="9" customWidth="1"/>
    <col min="3591" max="3591" width="22.28515625" style="9" customWidth="1"/>
    <col min="3592" max="3592" width="21.28515625" style="9" customWidth="1"/>
    <col min="3593" max="3840" width="11.42578125" style="9"/>
    <col min="3841" max="3841" width="3.7109375" style="9" customWidth="1"/>
    <col min="3842" max="3842" width="27.7109375" style="9" customWidth="1"/>
    <col min="3843" max="3843" width="15.85546875" style="9" customWidth="1"/>
    <col min="3844" max="3844" width="82" style="9" customWidth="1"/>
    <col min="3845" max="3845" width="13.7109375" style="9" customWidth="1"/>
    <col min="3846" max="3846" width="16.42578125" style="9" customWidth="1"/>
    <col min="3847" max="3847" width="22.28515625" style="9" customWidth="1"/>
    <col min="3848" max="3848" width="21.28515625" style="9" customWidth="1"/>
    <col min="3849" max="4096" width="11.42578125" style="9"/>
    <col min="4097" max="4097" width="3.7109375" style="9" customWidth="1"/>
    <col min="4098" max="4098" width="27.7109375" style="9" customWidth="1"/>
    <col min="4099" max="4099" width="15.85546875" style="9" customWidth="1"/>
    <col min="4100" max="4100" width="82" style="9" customWidth="1"/>
    <col min="4101" max="4101" width="13.7109375" style="9" customWidth="1"/>
    <col min="4102" max="4102" width="16.42578125" style="9" customWidth="1"/>
    <col min="4103" max="4103" width="22.28515625" style="9" customWidth="1"/>
    <col min="4104" max="4104" width="21.28515625" style="9" customWidth="1"/>
    <col min="4105" max="4352" width="11.42578125" style="9"/>
    <col min="4353" max="4353" width="3.7109375" style="9" customWidth="1"/>
    <col min="4354" max="4354" width="27.7109375" style="9" customWidth="1"/>
    <col min="4355" max="4355" width="15.85546875" style="9" customWidth="1"/>
    <col min="4356" max="4356" width="82" style="9" customWidth="1"/>
    <col min="4357" max="4357" width="13.7109375" style="9" customWidth="1"/>
    <col min="4358" max="4358" width="16.42578125" style="9" customWidth="1"/>
    <col min="4359" max="4359" width="22.28515625" style="9" customWidth="1"/>
    <col min="4360" max="4360" width="21.28515625" style="9" customWidth="1"/>
    <col min="4361" max="4608" width="11.42578125" style="9"/>
    <col min="4609" max="4609" width="3.7109375" style="9" customWidth="1"/>
    <col min="4610" max="4610" width="27.7109375" style="9" customWidth="1"/>
    <col min="4611" max="4611" width="15.85546875" style="9" customWidth="1"/>
    <col min="4612" max="4612" width="82" style="9" customWidth="1"/>
    <col min="4613" max="4613" width="13.7109375" style="9" customWidth="1"/>
    <col min="4614" max="4614" width="16.42578125" style="9" customWidth="1"/>
    <col min="4615" max="4615" width="22.28515625" style="9" customWidth="1"/>
    <col min="4616" max="4616" width="21.28515625" style="9" customWidth="1"/>
    <col min="4617" max="4864" width="11.42578125" style="9"/>
    <col min="4865" max="4865" width="3.7109375" style="9" customWidth="1"/>
    <col min="4866" max="4866" width="27.7109375" style="9" customWidth="1"/>
    <col min="4867" max="4867" width="15.85546875" style="9" customWidth="1"/>
    <col min="4868" max="4868" width="82" style="9" customWidth="1"/>
    <col min="4869" max="4869" width="13.7109375" style="9" customWidth="1"/>
    <col min="4870" max="4870" width="16.42578125" style="9" customWidth="1"/>
    <col min="4871" max="4871" width="22.28515625" style="9" customWidth="1"/>
    <col min="4872" max="4872" width="21.28515625" style="9" customWidth="1"/>
    <col min="4873" max="5120" width="11.42578125" style="9"/>
    <col min="5121" max="5121" width="3.7109375" style="9" customWidth="1"/>
    <col min="5122" max="5122" width="27.7109375" style="9" customWidth="1"/>
    <col min="5123" max="5123" width="15.85546875" style="9" customWidth="1"/>
    <col min="5124" max="5124" width="82" style="9" customWidth="1"/>
    <col min="5125" max="5125" width="13.7109375" style="9" customWidth="1"/>
    <col min="5126" max="5126" width="16.42578125" style="9" customWidth="1"/>
    <col min="5127" max="5127" width="22.28515625" style="9" customWidth="1"/>
    <col min="5128" max="5128" width="21.28515625" style="9" customWidth="1"/>
    <col min="5129" max="5376" width="11.42578125" style="9"/>
    <col min="5377" max="5377" width="3.7109375" style="9" customWidth="1"/>
    <col min="5378" max="5378" width="27.7109375" style="9" customWidth="1"/>
    <col min="5379" max="5379" width="15.85546875" style="9" customWidth="1"/>
    <col min="5380" max="5380" width="82" style="9" customWidth="1"/>
    <col min="5381" max="5381" width="13.7109375" style="9" customWidth="1"/>
    <col min="5382" max="5382" width="16.42578125" style="9" customWidth="1"/>
    <col min="5383" max="5383" width="22.28515625" style="9" customWidth="1"/>
    <col min="5384" max="5384" width="21.28515625" style="9" customWidth="1"/>
    <col min="5385" max="5632" width="11.42578125" style="9"/>
    <col min="5633" max="5633" width="3.7109375" style="9" customWidth="1"/>
    <col min="5634" max="5634" width="27.7109375" style="9" customWidth="1"/>
    <col min="5635" max="5635" width="15.85546875" style="9" customWidth="1"/>
    <col min="5636" max="5636" width="82" style="9" customWidth="1"/>
    <col min="5637" max="5637" width="13.7109375" style="9" customWidth="1"/>
    <col min="5638" max="5638" width="16.42578125" style="9" customWidth="1"/>
    <col min="5639" max="5639" width="22.28515625" style="9" customWidth="1"/>
    <col min="5640" max="5640" width="21.28515625" style="9" customWidth="1"/>
    <col min="5641" max="5888" width="11.42578125" style="9"/>
    <col min="5889" max="5889" width="3.7109375" style="9" customWidth="1"/>
    <col min="5890" max="5890" width="27.7109375" style="9" customWidth="1"/>
    <col min="5891" max="5891" width="15.85546875" style="9" customWidth="1"/>
    <col min="5892" max="5892" width="82" style="9" customWidth="1"/>
    <col min="5893" max="5893" width="13.7109375" style="9" customWidth="1"/>
    <col min="5894" max="5894" width="16.42578125" style="9" customWidth="1"/>
    <col min="5895" max="5895" width="22.28515625" style="9" customWidth="1"/>
    <col min="5896" max="5896" width="21.28515625" style="9" customWidth="1"/>
    <col min="5897" max="6144" width="11.42578125" style="9"/>
    <col min="6145" max="6145" width="3.7109375" style="9" customWidth="1"/>
    <col min="6146" max="6146" width="27.7109375" style="9" customWidth="1"/>
    <col min="6147" max="6147" width="15.85546875" style="9" customWidth="1"/>
    <col min="6148" max="6148" width="82" style="9" customWidth="1"/>
    <col min="6149" max="6149" width="13.7109375" style="9" customWidth="1"/>
    <col min="6150" max="6150" width="16.42578125" style="9" customWidth="1"/>
    <col min="6151" max="6151" width="22.28515625" style="9" customWidth="1"/>
    <col min="6152" max="6152" width="21.28515625" style="9" customWidth="1"/>
    <col min="6153" max="6400" width="11.42578125" style="9"/>
    <col min="6401" max="6401" width="3.7109375" style="9" customWidth="1"/>
    <col min="6402" max="6402" width="27.7109375" style="9" customWidth="1"/>
    <col min="6403" max="6403" width="15.85546875" style="9" customWidth="1"/>
    <col min="6404" max="6404" width="82" style="9" customWidth="1"/>
    <col min="6405" max="6405" width="13.7109375" style="9" customWidth="1"/>
    <col min="6406" max="6406" width="16.42578125" style="9" customWidth="1"/>
    <col min="6407" max="6407" width="22.28515625" style="9" customWidth="1"/>
    <col min="6408" max="6408" width="21.28515625" style="9" customWidth="1"/>
    <col min="6409" max="6656" width="11.42578125" style="9"/>
    <col min="6657" max="6657" width="3.7109375" style="9" customWidth="1"/>
    <col min="6658" max="6658" width="27.7109375" style="9" customWidth="1"/>
    <col min="6659" max="6659" width="15.85546875" style="9" customWidth="1"/>
    <col min="6660" max="6660" width="82" style="9" customWidth="1"/>
    <col min="6661" max="6661" width="13.7109375" style="9" customWidth="1"/>
    <col min="6662" max="6662" width="16.42578125" style="9" customWidth="1"/>
    <col min="6663" max="6663" width="22.28515625" style="9" customWidth="1"/>
    <col min="6664" max="6664" width="21.28515625" style="9" customWidth="1"/>
    <col min="6665" max="6912" width="11.42578125" style="9"/>
    <col min="6913" max="6913" width="3.7109375" style="9" customWidth="1"/>
    <col min="6914" max="6914" width="27.7109375" style="9" customWidth="1"/>
    <col min="6915" max="6915" width="15.85546875" style="9" customWidth="1"/>
    <col min="6916" max="6916" width="82" style="9" customWidth="1"/>
    <col min="6917" max="6917" width="13.7109375" style="9" customWidth="1"/>
    <col min="6918" max="6918" width="16.42578125" style="9" customWidth="1"/>
    <col min="6919" max="6919" width="22.28515625" style="9" customWidth="1"/>
    <col min="6920" max="6920" width="21.28515625" style="9" customWidth="1"/>
    <col min="6921" max="7168" width="11.42578125" style="9"/>
    <col min="7169" max="7169" width="3.7109375" style="9" customWidth="1"/>
    <col min="7170" max="7170" width="27.7109375" style="9" customWidth="1"/>
    <col min="7171" max="7171" width="15.85546875" style="9" customWidth="1"/>
    <col min="7172" max="7172" width="82" style="9" customWidth="1"/>
    <col min="7173" max="7173" width="13.7109375" style="9" customWidth="1"/>
    <col min="7174" max="7174" width="16.42578125" style="9" customWidth="1"/>
    <col min="7175" max="7175" width="22.28515625" style="9" customWidth="1"/>
    <col min="7176" max="7176" width="21.28515625" style="9" customWidth="1"/>
    <col min="7177" max="7424" width="11.42578125" style="9"/>
    <col min="7425" max="7425" width="3.7109375" style="9" customWidth="1"/>
    <col min="7426" max="7426" width="27.7109375" style="9" customWidth="1"/>
    <col min="7427" max="7427" width="15.85546875" style="9" customWidth="1"/>
    <col min="7428" max="7428" width="82" style="9" customWidth="1"/>
    <col min="7429" max="7429" width="13.7109375" style="9" customWidth="1"/>
    <col min="7430" max="7430" width="16.42578125" style="9" customWidth="1"/>
    <col min="7431" max="7431" width="22.28515625" style="9" customWidth="1"/>
    <col min="7432" max="7432" width="21.28515625" style="9" customWidth="1"/>
    <col min="7433" max="7680" width="11.42578125" style="9"/>
    <col min="7681" max="7681" width="3.7109375" style="9" customWidth="1"/>
    <col min="7682" max="7682" width="27.7109375" style="9" customWidth="1"/>
    <col min="7683" max="7683" width="15.85546875" style="9" customWidth="1"/>
    <col min="7684" max="7684" width="82" style="9" customWidth="1"/>
    <col min="7685" max="7685" width="13.7109375" style="9" customWidth="1"/>
    <col min="7686" max="7686" width="16.42578125" style="9" customWidth="1"/>
    <col min="7687" max="7687" width="22.28515625" style="9" customWidth="1"/>
    <col min="7688" max="7688" width="21.28515625" style="9" customWidth="1"/>
    <col min="7689" max="7936" width="11.42578125" style="9"/>
    <col min="7937" max="7937" width="3.7109375" style="9" customWidth="1"/>
    <col min="7938" max="7938" width="27.7109375" style="9" customWidth="1"/>
    <col min="7939" max="7939" width="15.85546875" style="9" customWidth="1"/>
    <col min="7940" max="7940" width="82" style="9" customWidth="1"/>
    <col min="7941" max="7941" width="13.7109375" style="9" customWidth="1"/>
    <col min="7942" max="7942" width="16.42578125" style="9" customWidth="1"/>
    <col min="7943" max="7943" width="22.28515625" style="9" customWidth="1"/>
    <col min="7944" max="7944" width="21.28515625" style="9" customWidth="1"/>
    <col min="7945" max="8192" width="11.42578125" style="9"/>
    <col min="8193" max="8193" width="3.7109375" style="9" customWidth="1"/>
    <col min="8194" max="8194" width="27.7109375" style="9" customWidth="1"/>
    <col min="8195" max="8195" width="15.85546875" style="9" customWidth="1"/>
    <col min="8196" max="8196" width="82" style="9" customWidth="1"/>
    <col min="8197" max="8197" width="13.7109375" style="9" customWidth="1"/>
    <col min="8198" max="8198" width="16.42578125" style="9" customWidth="1"/>
    <col min="8199" max="8199" width="22.28515625" style="9" customWidth="1"/>
    <col min="8200" max="8200" width="21.28515625" style="9" customWidth="1"/>
    <col min="8201" max="8448" width="11.42578125" style="9"/>
    <col min="8449" max="8449" width="3.7109375" style="9" customWidth="1"/>
    <col min="8450" max="8450" width="27.7109375" style="9" customWidth="1"/>
    <col min="8451" max="8451" width="15.85546875" style="9" customWidth="1"/>
    <col min="8452" max="8452" width="82" style="9" customWidth="1"/>
    <col min="8453" max="8453" width="13.7109375" style="9" customWidth="1"/>
    <col min="8454" max="8454" width="16.42578125" style="9" customWidth="1"/>
    <col min="8455" max="8455" width="22.28515625" style="9" customWidth="1"/>
    <col min="8456" max="8456" width="21.28515625" style="9" customWidth="1"/>
    <col min="8457" max="8704" width="11.42578125" style="9"/>
    <col min="8705" max="8705" width="3.7109375" style="9" customWidth="1"/>
    <col min="8706" max="8706" width="27.7109375" style="9" customWidth="1"/>
    <col min="8707" max="8707" width="15.85546875" style="9" customWidth="1"/>
    <col min="8708" max="8708" width="82" style="9" customWidth="1"/>
    <col min="8709" max="8709" width="13.7109375" style="9" customWidth="1"/>
    <col min="8710" max="8710" width="16.42578125" style="9" customWidth="1"/>
    <col min="8711" max="8711" width="22.28515625" style="9" customWidth="1"/>
    <col min="8712" max="8712" width="21.28515625" style="9" customWidth="1"/>
    <col min="8713" max="8960" width="11.42578125" style="9"/>
    <col min="8961" max="8961" width="3.7109375" style="9" customWidth="1"/>
    <col min="8962" max="8962" width="27.7109375" style="9" customWidth="1"/>
    <col min="8963" max="8963" width="15.85546875" style="9" customWidth="1"/>
    <col min="8964" max="8964" width="82" style="9" customWidth="1"/>
    <col min="8965" max="8965" width="13.7109375" style="9" customWidth="1"/>
    <col min="8966" max="8966" width="16.42578125" style="9" customWidth="1"/>
    <col min="8967" max="8967" width="22.28515625" style="9" customWidth="1"/>
    <col min="8968" max="8968" width="21.28515625" style="9" customWidth="1"/>
    <col min="8969" max="9216" width="11.42578125" style="9"/>
    <col min="9217" max="9217" width="3.7109375" style="9" customWidth="1"/>
    <col min="9218" max="9218" width="27.7109375" style="9" customWidth="1"/>
    <col min="9219" max="9219" width="15.85546875" style="9" customWidth="1"/>
    <col min="9220" max="9220" width="82" style="9" customWidth="1"/>
    <col min="9221" max="9221" width="13.7109375" style="9" customWidth="1"/>
    <col min="9222" max="9222" width="16.42578125" style="9" customWidth="1"/>
    <col min="9223" max="9223" width="22.28515625" style="9" customWidth="1"/>
    <col min="9224" max="9224" width="21.28515625" style="9" customWidth="1"/>
    <col min="9225" max="9472" width="11.42578125" style="9"/>
    <col min="9473" max="9473" width="3.7109375" style="9" customWidth="1"/>
    <col min="9474" max="9474" width="27.7109375" style="9" customWidth="1"/>
    <col min="9475" max="9475" width="15.85546875" style="9" customWidth="1"/>
    <col min="9476" max="9476" width="82" style="9" customWidth="1"/>
    <col min="9477" max="9477" width="13.7109375" style="9" customWidth="1"/>
    <col min="9478" max="9478" width="16.42578125" style="9" customWidth="1"/>
    <col min="9479" max="9479" width="22.28515625" style="9" customWidth="1"/>
    <col min="9480" max="9480" width="21.28515625" style="9" customWidth="1"/>
    <col min="9481" max="9728" width="11.42578125" style="9"/>
    <col min="9729" max="9729" width="3.7109375" style="9" customWidth="1"/>
    <col min="9730" max="9730" width="27.7109375" style="9" customWidth="1"/>
    <col min="9731" max="9731" width="15.85546875" style="9" customWidth="1"/>
    <col min="9732" max="9732" width="82" style="9" customWidth="1"/>
    <col min="9733" max="9733" width="13.7109375" style="9" customWidth="1"/>
    <col min="9734" max="9734" width="16.42578125" style="9" customWidth="1"/>
    <col min="9735" max="9735" width="22.28515625" style="9" customWidth="1"/>
    <col min="9736" max="9736" width="21.28515625" style="9" customWidth="1"/>
    <col min="9737" max="9984" width="11.42578125" style="9"/>
    <col min="9985" max="9985" width="3.7109375" style="9" customWidth="1"/>
    <col min="9986" max="9986" width="27.7109375" style="9" customWidth="1"/>
    <col min="9987" max="9987" width="15.85546875" style="9" customWidth="1"/>
    <col min="9988" max="9988" width="82" style="9" customWidth="1"/>
    <col min="9989" max="9989" width="13.7109375" style="9" customWidth="1"/>
    <col min="9990" max="9990" width="16.42578125" style="9" customWidth="1"/>
    <col min="9991" max="9991" width="22.28515625" style="9" customWidth="1"/>
    <col min="9992" max="9992" width="21.28515625" style="9" customWidth="1"/>
    <col min="9993" max="10240" width="11.42578125" style="9"/>
    <col min="10241" max="10241" width="3.7109375" style="9" customWidth="1"/>
    <col min="10242" max="10242" width="27.7109375" style="9" customWidth="1"/>
    <col min="10243" max="10243" width="15.85546875" style="9" customWidth="1"/>
    <col min="10244" max="10244" width="82" style="9" customWidth="1"/>
    <col min="10245" max="10245" width="13.7109375" style="9" customWidth="1"/>
    <col min="10246" max="10246" width="16.42578125" style="9" customWidth="1"/>
    <col min="10247" max="10247" width="22.28515625" style="9" customWidth="1"/>
    <col min="10248" max="10248" width="21.28515625" style="9" customWidth="1"/>
    <col min="10249" max="10496" width="11.42578125" style="9"/>
    <col min="10497" max="10497" width="3.7109375" style="9" customWidth="1"/>
    <col min="10498" max="10498" width="27.7109375" style="9" customWidth="1"/>
    <col min="10499" max="10499" width="15.85546875" style="9" customWidth="1"/>
    <col min="10500" max="10500" width="82" style="9" customWidth="1"/>
    <col min="10501" max="10501" width="13.7109375" style="9" customWidth="1"/>
    <col min="10502" max="10502" width="16.42578125" style="9" customWidth="1"/>
    <col min="10503" max="10503" width="22.28515625" style="9" customWidth="1"/>
    <col min="10504" max="10504" width="21.28515625" style="9" customWidth="1"/>
    <col min="10505" max="10752" width="11.42578125" style="9"/>
    <col min="10753" max="10753" width="3.7109375" style="9" customWidth="1"/>
    <col min="10754" max="10754" width="27.7109375" style="9" customWidth="1"/>
    <col min="10755" max="10755" width="15.85546875" style="9" customWidth="1"/>
    <col min="10756" max="10756" width="82" style="9" customWidth="1"/>
    <col min="10757" max="10757" width="13.7109375" style="9" customWidth="1"/>
    <col min="10758" max="10758" width="16.42578125" style="9" customWidth="1"/>
    <col min="10759" max="10759" width="22.28515625" style="9" customWidth="1"/>
    <col min="10760" max="10760" width="21.28515625" style="9" customWidth="1"/>
    <col min="10761" max="11008" width="11.42578125" style="9"/>
    <col min="11009" max="11009" width="3.7109375" style="9" customWidth="1"/>
    <col min="11010" max="11010" width="27.7109375" style="9" customWidth="1"/>
    <col min="11011" max="11011" width="15.85546875" style="9" customWidth="1"/>
    <col min="11012" max="11012" width="82" style="9" customWidth="1"/>
    <col min="11013" max="11013" width="13.7109375" style="9" customWidth="1"/>
    <col min="11014" max="11014" width="16.42578125" style="9" customWidth="1"/>
    <col min="11015" max="11015" width="22.28515625" style="9" customWidth="1"/>
    <col min="11016" max="11016" width="21.28515625" style="9" customWidth="1"/>
    <col min="11017" max="11264" width="11.42578125" style="9"/>
    <col min="11265" max="11265" width="3.7109375" style="9" customWidth="1"/>
    <col min="11266" max="11266" width="27.7109375" style="9" customWidth="1"/>
    <col min="11267" max="11267" width="15.85546875" style="9" customWidth="1"/>
    <col min="11268" max="11268" width="82" style="9" customWidth="1"/>
    <col min="11269" max="11269" width="13.7109375" style="9" customWidth="1"/>
    <col min="11270" max="11270" width="16.42578125" style="9" customWidth="1"/>
    <col min="11271" max="11271" width="22.28515625" style="9" customWidth="1"/>
    <col min="11272" max="11272" width="21.28515625" style="9" customWidth="1"/>
    <col min="11273" max="11520" width="11.42578125" style="9"/>
    <col min="11521" max="11521" width="3.7109375" style="9" customWidth="1"/>
    <col min="11522" max="11522" width="27.7109375" style="9" customWidth="1"/>
    <col min="11523" max="11523" width="15.85546875" style="9" customWidth="1"/>
    <col min="11524" max="11524" width="82" style="9" customWidth="1"/>
    <col min="11525" max="11525" width="13.7109375" style="9" customWidth="1"/>
    <col min="11526" max="11526" width="16.42578125" style="9" customWidth="1"/>
    <col min="11527" max="11527" width="22.28515625" style="9" customWidth="1"/>
    <col min="11528" max="11528" width="21.28515625" style="9" customWidth="1"/>
    <col min="11529" max="11776" width="11.42578125" style="9"/>
    <col min="11777" max="11777" width="3.7109375" style="9" customWidth="1"/>
    <col min="11778" max="11778" width="27.7109375" style="9" customWidth="1"/>
    <col min="11779" max="11779" width="15.85546875" style="9" customWidth="1"/>
    <col min="11780" max="11780" width="82" style="9" customWidth="1"/>
    <col min="11781" max="11781" width="13.7109375" style="9" customWidth="1"/>
    <col min="11782" max="11782" width="16.42578125" style="9" customWidth="1"/>
    <col min="11783" max="11783" width="22.28515625" style="9" customWidth="1"/>
    <col min="11784" max="11784" width="21.28515625" style="9" customWidth="1"/>
    <col min="11785" max="12032" width="11.42578125" style="9"/>
    <col min="12033" max="12033" width="3.7109375" style="9" customWidth="1"/>
    <col min="12034" max="12034" width="27.7109375" style="9" customWidth="1"/>
    <col min="12035" max="12035" width="15.85546875" style="9" customWidth="1"/>
    <col min="12036" max="12036" width="82" style="9" customWidth="1"/>
    <col min="12037" max="12037" width="13.7109375" style="9" customWidth="1"/>
    <col min="12038" max="12038" width="16.42578125" style="9" customWidth="1"/>
    <col min="12039" max="12039" width="22.28515625" style="9" customWidth="1"/>
    <col min="12040" max="12040" width="21.28515625" style="9" customWidth="1"/>
    <col min="12041" max="12288" width="11.42578125" style="9"/>
    <col min="12289" max="12289" width="3.7109375" style="9" customWidth="1"/>
    <col min="12290" max="12290" width="27.7109375" style="9" customWidth="1"/>
    <col min="12291" max="12291" width="15.85546875" style="9" customWidth="1"/>
    <col min="12292" max="12292" width="82" style="9" customWidth="1"/>
    <col min="12293" max="12293" width="13.7109375" style="9" customWidth="1"/>
    <col min="12294" max="12294" width="16.42578125" style="9" customWidth="1"/>
    <col min="12295" max="12295" width="22.28515625" style="9" customWidth="1"/>
    <col min="12296" max="12296" width="21.28515625" style="9" customWidth="1"/>
    <col min="12297" max="12544" width="11.42578125" style="9"/>
    <col min="12545" max="12545" width="3.7109375" style="9" customWidth="1"/>
    <col min="12546" max="12546" width="27.7109375" style="9" customWidth="1"/>
    <col min="12547" max="12547" width="15.85546875" style="9" customWidth="1"/>
    <col min="12548" max="12548" width="82" style="9" customWidth="1"/>
    <col min="12549" max="12549" width="13.7109375" style="9" customWidth="1"/>
    <col min="12550" max="12550" width="16.42578125" style="9" customWidth="1"/>
    <col min="12551" max="12551" width="22.28515625" style="9" customWidth="1"/>
    <col min="12552" max="12552" width="21.28515625" style="9" customWidth="1"/>
    <col min="12553" max="12800" width="11.42578125" style="9"/>
    <col min="12801" max="12801" width="3.7109375" style="9" customWidth="1"/>
    <col min="12802" max="12802" width="27.7109375" style="9" customWidth="1"/>
    <col min="12803" max="12803" width="15.85546875" style="9" customWidth="1"/>
    <col min="12804" max="12804" width="82" style="9" customWidth="1"/>
    <col min="12805" max="12805" width="13.7109375" style="9" customWidth="1"/>
    <col min="12806" max="12806" width="16.42578125" style="9" customWidth="1"/>
    <col min="12807" max="12807" width="22.28515625" style="9" customWidth="1"/>
    <col min="12808" max="12808" width="21.28515625" style="9" customWidth="1"/>
    <col min="12809" max="13056" width="11.42578125" style="9"/>
    <col min="13057" max="13057" width="3.7109375" style="9" customWidth="1"/>
    <col min="13058" max="13058" width="27.7109375" style="9" customWidth="1"/>
    <col min="13059" max="13059" width="15.85546875" style="9" customWidth="1"/>
    <col min="13060" max="13060" width="82" style="9" customWidth="1"/>
    <col min="13061" max="13061" width="13.7109375" style="9" customWidth="1"/>
    <col min="13062" max="13062" width="16.42578125" style="9" customWidth="1"/>
    <col min="13063" max="13063" width="22.28515625" style="9" customWidth="1"/>
    <col min="13064" max="13064" width="21.28515625" style="9" customWidth="1"/>
    <col min="13065" max="13312" width="11.42578125" style="9"/>
    <col min="13313" max="13313" width="3.7109375" style="9" customWidth="1"/>
    <col min="13314" max="13314" width="27.7109375" style="9" customWidth="1"/>
    <col min="13315" max="13315" width="15.85546875" style="9" customWidth="1"/>
    <col min="13316" max="13316" width="82" style="9" customWidth="1"/>
    <col min="13317" max="13317" width="13.7109375" style="9" customWidth="1"/>
    <col min="13318" max="13318" width="16.42578125" style="9" customWidth="1"/>
    <col min="13319" max="13319" width="22.28515625" style="9" customWidth="1"/>
    <col min="13320" max="13320" width="21.28515625" style="9" customWidth="1"/>
    <col min="13321" max="13568" width="11.42578125" style="9"/>
    <col min="13569" max="13569" width="3.7109375" style="9" customWidth="1"/>
    <col min="13570" max="13570" width="27.7109375" style="9" customWidth="1"/>
    <col min="13571" max="13571" width="15.85546875" style="9" customWidth="1"/>
    <col min="13572" max="13572" width="82" style="9" customWidth="1"/>
    <col min="13573" max="13573" width="13.7109375" style="9" customWidth="1"/>
    <col min="13574" max="13574" width="16.42578125" style="9" customWidth="1"/>
    <col min="13575" max="13575" width="22.28515625" style="9" customWidth="1"/>
    <col min="13576" max="13576" width="21.28515625" style="9" customWidth="1"/>
    <col min="13577" max="13824" width="11.42578125" style="9"/>
    <col min="13825" max="13825" width="3.7109375" style="9" customWidth="1"/>
    <col min="13826" max="13826" width="27.7109375" style="9" customWidth="1"/>
    <col min="13827" max="13827" width="15.85546875" style="9" customWidth="1"/>
    <col min="13828" max="13828" width="82" style="9" customWidth="1"/>
    <col min="13829" max="13829" width="13.7109375" style="9" customWidth="1"/>
    <col min="13830" max="13830" width="16.42578125" style="9" customWidth="1"/>
    <col min="13831" max="13831" width="22.28515625" style="9" customWidth="1"/>
    <col min="13832" max="13832" width="21.28515625" style="9" customWidth="1"/>
    <col min="13833" max="14080" width="11.42578125" style="9"/>
    <col min="14081" max="14081" width="3.7109375" style="9" customWidth="1"/>
    <col min="14082" max="14082" width="27.7109375" style="9" customWidth="1"/>
    <col min="14083" max="14083" width="15.85546875" style="9" customWidth="1"/>
    <col min="14084" max="14084" width="82" style="9" customWidth="1"/>
    <col min="14085" max="14085" width="13.7109375" style="9" customWidth="1"/>
    <col min="14086" max="14086" width="16.42578125" style="9" customWidth="1"/>
    <col min="14087" max="14087" width="22.28515625" style="9" customWidth="1"/>
    <col min="14088" max="14088" width="21.28515625" style="9" customWidth="1"/>
    <col min="14089" max="14336" width="11.42578125" style="9"/>
    <col min="14337" max="14337" width="3.7109375" style="9" customWidth="1"/>
    <col min="14338" max="14338" width="27.7109375" style="9" customWidth="1"/>
    <col min="14339" max="14339" width="15.85546875" style="9" customWidth="1"/>
    <col min="14340" max="14340" width="82" style="9" customWidth="1"/>
    <col min="14341" max="14341" width="13.7109375" style="9" customWidth="1"/>
    <col min="14342" max="14342" width="16.42578125" style="9" customWidth="1"/>
    <col min="14343" max="14343" width="22.28515625" style="9" customWidth="1"/>
    <col min="14344" max="14344" width="21.28515625" style="9" customWidth="1"/>
    <col min="14345" max="14592" width="11.42578125" style="9"/>
    <col min="14593" max="14593" width="3.7109375" style="9" customWidth="1"/>
    <col min="14594" max="14594" width="27.7109375" style="9" customWidth="1"/>
    <col min="14595" max="14595" width="15.85546875" style="9" customWidth="1"/>
    <col min="14596" max="14596" width="82" style="9" customWidth="1"/>
    <col min="14597" max="14597" width="13.7109375" style="9" customWidth="1"/>
    <col min="14598" max="14598" width="16.42578125" style="9" customWidth="1"/>
    <col min="14599" max="14599" width="22.28515625" style="9" customWidth="1"/>
    <col min="14600" max="14600" width="21.28515625" style="9" customWidth="1"/>
    <col min="14601" max="14848" width="11.42578125" style="9"/>
    <col min="14849" max="14849" width="3.7109375" style="9" customWidth="1"/>
    <col min="14850" max="14850" width="27.7109375" style="9" customWidth="1"/>
    <col min="14851" max="14851" width="15.85546875" style="9" customWidth="1"/>
    <col min="14852" max="14852" width="82" style="9" customWidth="1"/>
    <col min="14853" max="14853" width="13.7109375" style="9" customWidth="1"/>
    <col min="14854" max="14854" width="16.42578125" style="9" customWidth="1"/>
    <col min="14855" max="14855" width="22.28515625" style="9" customWidth="1"/>
    <col min="14856" max="14856" width="21.28515625" style="9" customWidth="1"/>
    <col min="14857" max="15104" width="11.42578125" style="9"/>
    <col min="15105" max="15105" width="3.7109375" style="9" customWidth="1"/>
    <col min="15106" max="15106" width="27.7109375" style="9" customWidth="1"/>
    <col min="15107" max="15107" width="15.85546875" style="9" customWidth="1"/>
    <col min="15108" max="15108" width="82" style="9" customWidth="1"/>
    <col min="15109" max="15109" width="13.7109375" style="9" customWidth="1"/>
    <col min="15110" max="15110" width="16.42578125" style="9" customWidth="1"/>
    <col min="15111" max="15111" width="22.28515625" style="9" customWidth="1"/>
    <col min="15112" max="15112" width="21.28515625" style="9" customWidth="1"/>
    <col min="15113" max="15360" width="11.42578125" style="9"/>
    <col min="15361" max="15361" width="3.7109375" style="9" customWidth="1"/>
    <col min="15362" max="15362" width="27.7109375" style="9" customWidth="1"/>
    <col min="15363" max="15363" width="15.85546875" style="9" customWidth="1"/>
    <col min="15364" max="15364" width="82" style="9" customWidth="1"/>
    <col min="15365" max="15365" width="13.7109375" style="9" customWidth="1"/>
    <col min="15366" max="15366" width="16.42578125" style="9" customWidth="1"/>
    <col min="15367" max="15367" width="22.28515625" style="9" customWidth="1"/>
    <col min="15368" max="15368" width="21.28515625" style="9" customWidth="1"/>
    <col min="15369" max="15616" width="11.42578125" style="9"/>
    <col min="15617" max="15617" width="3.7109375" style="9" customWidth="1"/>
    <col min="15618" max="15618" width="27.7109375" style="9" customWidth="1"/>
    <col min="15619" max="15619" width="15.85546875" style="9" customWidth="1"/>
    <col min="15620" max="15620" width="82" style="9" customWidth="1"/>
    <col min="15621" max="15621" width="13.7109375" style="9" customWidth="1"/>
    <col min="15622" max="15622" width="16.42578125" style="9" customWidth="1"/>
    <col min="15623" max="15623" width="22.28515625" style="9" customWidth="1"/>
    <col min="15624" max="15624" width="21.28515625" style="9" customWidth="1"/>
    <col min="15625" max="15872" width="11.42578125" style="9"/>
    <col min="15873" max="15873" width="3.7109375" style="9" customWidth="1"/>
    <col min="15874" max="15874" width="27.7109375" style="9" customWidth="1"/>
    <col min="15875" max="15875" width="15.85546875" style="9" customWidth="1"/>
    <col min="15876" max="15876" width="82" style="9" customWidth="1"/>
    <col min="15877" max="15877" width="13.7109375" style="9" customWidth="1"/>
    <col min="15878" max="15878" width="16.42578125" style="9" customWidth="1"/>
    <col min="15879" max="15879" width="22.28515625" style="9" customWidth="1"/>
    <col min="15880" max="15880" width="21.28515625" style="9" customWidth="1"/>
    <col min="15881" max="16128" width="11.42578125" style="9"/>
    <col min="16129" max="16129" width="3.7109375" style="9" customWidth="1"/>
    <col min="16130" max="16130" width="27.7109375" style="9" customWidth="1"/>
    <col min="16131" max="16131" width="15.85546875" style="9" customWidth="1"/>
    <col min="16132" max="16132" width="82" style="9" customWidth="1"/>
    <col min="16133" max="16133" width="13.7109375" style="9" customWidth="1"/>
    <col min="16134" max="16134" width="16.42578125" style="9" customWidth="1"/>
    <col min="16135" max="16135" width="22.28515625" style="9" customWidth="1"/>
    <col min="16136" max="16136" width="21.28515625" style="9" customWidth="1"/>
    <col min="16137" max="16384" width="11.42578125" style="9"/>
  </cols>
  <sheetData>
    <row r="1" spans="1:19" s="90" customFormat="1" ht="28.5" customHeight="1" x14ac:dyDescent="0.3">
      <c r="A1" s="84"/>
      <c r="B1" s="85"/>
      <c r="C1" s="86" t="s">
        <v>74</v>
      </c>
      <c r="D1" s="86"/>
      <c r="E1" s="87" t="s">
        <v>75</v>
      </c>
      <c r="F1" s="88"/>
      <c r="G1" s="88"/>
      <c r="H1" s="88"/>
      <c r="I1" s="89"/>
      <c r="J1" s="89"/>
      <c r="K1" s="89"/>
      <c r="L1" s="89"/>
      <c r="M1" s="89"/>
      <c r="N1" s="89"/>
      <c r="O1" s="89"/>
      <c r="P1" s="89"/>
      <c r="Q1" s="89"/>
      <c r="R1" s="89"/>
      <c r="S1" s="89"/>
    </row>
    <row r="2" spans="1:19" s="90" customFormat="1" ht="27.75" customHeight="1" thickBot="1" x14ac:dyDescent="0.3">
      <c r="A2" s="84"/>
      <c r="B2" s="91"/>
      <c r="C2" s="92" t="s">
        <v>76</v>
      </c>
      <c r="D2" s="92"/>
      <c r="E2" s="93"/>
      <c r="F2" s="94"/>
      <c r="G2" s="94"/>
      <c r="H2" s="95"/>
      <c r="I2" s="96"/>
      <c r="J2" s="96"/>
      <c r="K2" s="96"/>
      <c r="L2" s="96"/>
      <c r="M2" s="96"/>
      <c r="N2" s="96"/>
      <c r="O2" s="96"/>
      <c r="P2" s="96"/>
      <c r="Q2" s="96"/>
      <c r="R2" s="96"/>
      <c r="S2" s="96"/>
    </row>
    <row r="3" spans="1:19" ht="18.75" customHeight="1" x14ac:dyDescent="0.25">
      <c r="B3" s="98" t="s">
        <v>17</v>
      </c>
      <c r="C3" s="99" t="s">
        <v>8</v>
      </c>
      <c r="D3" s="100">
        <v>45162</v>
      </c>
      <c r="E3" s="101"/>
      <c r="F3" s="102"/>
      <c r="G3" s="102"/>
      <c r="H3" s="102"/>
    </row>
    <row r="4" spans="1:19" ht="18.75" customHeight="1" x14ac:dyDescent="0.25">
      <c r="B4" s="103"/>
      <c r="C4" s="104" t="s">
        <v>77</v>
      </c>
      <c r="D4" s="105">
        <f>+D3+100</f>
        <v>45262</v>
      </c>
      <c r="E4" s="106"/>
      <c r="F4" s="102"/>
      <c r="G4" s="102"/>
      <c r="H4" s="102"/>
    </row>
    <row r="5" spans="1:19" ht="18.75" customHeight="1" x14ac:dyDescent="0.25">
      <c r="B5" s="107" t="s">
        <v>78</v>
      </c>
      <c r="C5" s="108" t="s">
        <v>79</v>
      </c>
      <c r="D5" s="109"/>
      <c r="E5" s="110"/>
      <c r="F5" s="111"/>
      <c r="G5" s="111"/>
      <c r="H5" s="111"/>
    </row>
    <row r="6" spans="1:19" ht="18.75" customHeight="1" x14ac:dyDescent="0.25">
      <c r="B6" s="107" t="s">
        <v>80</v>
      </c>
      <c r="C6" s="108" t="s">
        <v>81</v>
      </c>
      <c r="D6" s="109"/>
      <c r="E6" s="110"/>
      <c r="F6" s="111"/>
      <c r="G6" s="111"/>
      <c r="H6" s="111"/>
    </row>
    <row r="7" spans="1:19" ht="18.75" customHeight="1" x14ac:dyDescent="0.25">
      <c r="B7" s="107" t="s">
        <v>82</v>
      </c>
      <c r="C7" s="108" t="s">
        <v>83</v>
      </c>
      <c r="D7" s="109"/>
      <c r="E7" s="110"/>
      <c r="F7" s="112"/>
      <c r="G7" s="112"/>
      <c r="H7" s="112"/>
    </row>
    <row r="8" spans="1:19" ht="18.75" customHeight="1" x14ac:dyDescent="0.25">
      <c r="B8" s="107" t="s">
        <v>19</v>
      </c>
      <c r="C8" s="108" t="s">
        <v>84</v>
      </c>
      <c r="D8" s="109"/>
      <c r="E8" s="110"/>
      <c r="F8" s="112"/>
      <c r="G8" s="112"/>
      <c r="H8" s="112"/>
    </row>
    <row r="9" spans="1:19" ht="18.75" customHeight="1" x14ac:dyDescent="0.25">
      <c r="B9" s="107" t="s">
        <v>85</v>
      </c>
      <c r="C9" s="108" t="s">
        <v>86</v>
      </c>
      <c r="D9" s="109"/>
      <c r="E9" s="110"/>
      <c r="F9" s="112"/>
      <c r="G9" s="112"/>
      <c r="H9" s="112"/>
    </row>
    <row r="10" spans="1:19" ht="18.75" customHeight="1" x14ac:dyDescent="0.25">
      <c r="B10" s="107" t="s">
        <v>87</v>
      </c>
      <c r="C10" s="108" t="s">
        <v>88</v>
      </c>
      <c r="D10" s="109"/>
      <c r="E10" s="110"/>
      <c r="F10" s="111"/>
      <c r="G10" s="111"/>
      <c r="H10" s="111"/>
    </row>
    <row r="11" spans="1:19" ht="18.75" customHeight="1" x14ac:dyDescent="0.25">
      <c r="B11" s="107" t="s">
        <v>89</v>
      </c>
      <c r="C11" s="113" t="s">
        <v>90</v>
      </c>
      <c r="D11" s="114"/>
      <c r="E11" s="115"/>
      <c r="F11" s="112"/>
      <c r="G11" s="112"/>
      <c r="H11" s="112"/>
    </row>
    <row r="12" spans="1:19" ht="18.75" customHeight="1" thickBot="1" x14ac:dyDescent="0.3">
      <c r="B12" s="116" t="s">
        <v>91</v>
      </c>
      <c r="C12" s="117">
        <v>100000</v>
      </c>
      <c r="D12" s="118"/>
      <c r="E12" s="119"/>
      <c r="F12" s="120"/>
      <c r="G12" s="120"/>
      <c r="H12" s="120"/>
    </row>
    <row r="13" spans="1:19" ht="18.75" customHeight="1" thickBot="1" x14ac:dyDescent="0.3">
      <c r="B13" s="121" t="s">
        <v>92</v>
      </c>
      <c r="C13" s="122" t="s">
        <v>93</v>
      </c>
      <c r="D13" s="123" t="s">
        <v>94</v>
      </c>
      <c r="E13" s="124" t="s">
        <v>95</v>
      </c>
      <c r="F13" s="120"/>
      <c r="G13" s="120"/>
      <c r="H13" s="120"/>
    </row>
    <row r="14" spans="1:19" ht="18.75" customHeight="1" x14ac:dyDescent="0.25">
      <c r="B14" s="121"/>
      <c r="C14" s="125" t="s">
        <v>96</v>
      </c>
      <c r="D14" s="126" t="s">
        <v>97</v>
      </c>
      <c r="E14" s="127">
        <v>10000</v>
      </c>
      <c r="F14" s="128"/>
      <c r="G14" s="128"/>
      <c r="H14" s="128"/>
    </row>
    <row r="15" spans="1:19" ht="18.75" customHeight="1" x14ac:dyDescent="0.25">
      <c r="B15" s="121"/>
      <c r="C15" s="125"/>
      <c r="D15" s="126"/>
      <c r="E15" s="127">
        <v>0</v>
      </c>
      <c r="F15" s="128"/>
      <c r="G15" s="128"/>
      <c r="H15" s="128"/>
    </row>
    <row r="16" spans="1:19" ht="18.75" customHeight="1" x14ac:dyDescent="0.25">
      <c r="B16" s="121"/>
      <c r="C16" s="125"/>
      <c r="D16" s="126"/>
      <c r="E16" s="129"/>
      <c r="F16" s="128"/>
      <c r="G16" s="128"/>
      <c r="H16" s="128"/>
    </row>
    <row r="17" spans="1:8" ht="18.75" customHeight="1" x14ac:dyDescent="0.25">
      <c r="B17" s="107" t="s">
        <v>98</v>
      </c>
      <c r="C17" s="130">
        <f>SUM(E14:E16)</f>
        <v>10000</v>
      </c>
      <c r="D17" s="109"/>
      <c r="E17" s="110"/>
      <c r="F17" s="120"/>
      <c r="G17" s="120"/>
      <c r="H17" s="120"/>
    </row>
    <row r="18" spans="1:8" ht="18.75" customHeight="1" x14ac:dyDescent="0.25">
      <c r="B18" s="107" t="s">
        <v>99</v>
      </c>
      <c r="C18" s="131">
        <f>+C17/C12</f>
        <v>0.1</v>
      </c>
      <c r="D18" s="132"/>
      <c r="E18" s="133"/>
      <c r="F18" s="134"/>
      <c r="G18" s="134"/>
      <c r="H18" s="134"/>
    </row>
    <row r="19" spans="1:8" ht="18.75" customHeight="1" x14ac:dyDescent="0.25">
      <c r="B19" s="107" t="s">
        <v>100</v>
      </c>
      <c r="C19" s="108">
        <v>1</v>
      </c>
      <c r="D19" s="109"/>
      <c r="E19" s="110"/>
      <c r="F19" s="111"/>
      <c r="G19" s="111"/>
      <c r="H19" s="111"/>
    </row>
    <row r="20" spans="1:8" ht="18.75" customHeight="1" x14ac:dyDescent="0.25">
      <c r="B20" s="103" t="s">
        <v>101</v>
      </c>
      <c r="C20" s="135" t="s">
        <v>102</v>
      </c>
      <c r="D20" s="136"/>
      <c r="E20" s="137"/>
      <c r="F20" s="111"/>
      <c r="G20" s="111"/>
      <c r="H20" s="111"/>
    </row>
    <row r="21" spans="1:8" ht="18.75" customHeight="1" x14ac:dyDescent="0.25">
      <c r="B21" s="103"/>
      <c r="C21" s="135" t="s">
        <v>103</v>
      </c>
      <c r="D21" s="138" t="s">
        <v>104</v>
      </c>
      <c r="E21" s="137"/>
      <c r="F21" s="111"/>
      <c r="G21" s="111"/>
      <c r="H21" s="111"/>
    </row>
    <row r="22" spans="1:8" ht="18.75" customHeight="1" x14ac:dyDescent="0.25">
      <c r="B22" s="103"/>
      <c r="C22" s="135" t="s">
        <v>105</v>
      </c>
      <c r="D22" s="136"/>
      <c r="E22" s="137"/>
      <c r="F22" s="111"/>
      <c r="G22" s="111"/>
      <c r="H22" s="111"/>
    </row>
    <row r="23" spans="1:8" ht="18.75" customHeight="1" x14ac:dyDescent="0.25">
      <c r="B23" s="107" t="s">
        <v>106</v>
      </c>
      <c r="C23" s="139" t="s">
        <v>107</v>
      </c>
      <c r="D23" s="140"/>
      <c r="E23" s="141"/>
      <c r="F23" s="111"/>
      <c r="G23" s="111"/>
      <c r="H23" s="111"/>
    </row>
    <row r="24" spans="1:8" ht="18.75" customHeight="1" x14ac:dyDescent="0.25">
      <c r="B24" s="107" t="s">
        <v>25</v>
      </c>
      <c r="C24" s="139" t="s">
        <v>108</v>
      </c>
      <c r="D24" s="140"/>
      <c r="E24" s="141"/>
      <c r="F24" s="111"/>
      <c r="G24" s="111"/>
      <c r="H24" s="111"/>
    </row>
    <row r="25" spans="1:8" ht="18.75" customHeight="1" thickBot="1" x14ac:dyDescent="0.3">
      <c r="B25" s="142" t="s">
        <v>109</v>
      </c>
      <c r="C25" s="143">
        <v>4</v>
      </c>
      <c r="D25" s="144"/>
      <c r="E25" s="137" t="s">
        <v>110</v>
      </c>
      <c r="F25" s="111"/>
      <c r="G25" s="111"/>
      <c r="H25" s="111"/>
    </row>
    <row r="26" spans="1:8" ht="64.5" x14ac:dyDescent="0.25">
      <c r="A26" s="97" t="s">
        <v>111</v>
      </c>
      <c r="B26" s="145" t="s">
        <v>112</v>
      </c>
      <c r="C26" s="146" t="s">
        <v>113</v>
      </c>
      <c r="D26" s="147"/>
      <c r="E26" s="148"/>
      <c r="F26" s="111"/>
      <c r="G26" s="111"/>
      <c r="H26" s="111"/>
    </row>
    <row r="27" spans="1:8" ht="15.75" x14ac:dyDescent="0.25">
      <c r="B27" s="149" t="s">
        <v>114</v>
      </c>
      <c r="C27" s="150">
        <v>200</v>
      </c>
      <c r="D27" s="140"/>
      <c r="E27" s="141"/>
      <c r="F27" s="151"/>
      <c r="G27" s="151"/>
      <c r="H27" s="151"/>
    </row>
    <row r="28" spans="1:8" ht="22.5" customHeight="1" x14ac:dyDescent="0.25">
      <c r="A28" s="97" t="s">
        <v>115</v>
      </c>
      <c r="B28" s="149" t="s">
        <v>116</v>
      </c>
      <c r="C28" s="150" t="s">
        <v>117</v>
      </c>
      <c r="D28" s="140"/>
      <c r="E28" s="141"/>
      <c r="F28" s="151"/>
      <c r="G28" s="151"/>
      <c r="H28" s="151"/>
    </row>
    <row r="29" spans="1:8" ht="48.75" x14ac:dyDescent="0.25">
      <c r="A29" s="97" t="s">
        <v>118</v>
      </c>
      <c r="B29" s="149" t="s">
        <v>119</v>
      </c>
      <c r="C29" s="150" t="s">
        <v>120</v>
      </c>
      <c r="D29" s="140"/>
      <c r="E29" s="141"/>
      <c r="F29" s="152"/>
      <c r="G29" s="152"/>
      <c r="H29" s="152"/>
    </row>
    <row r="30" spans="1:8" ht="15.75" x14ac:dyDescent="0.25">
      <c r="B30" s="153" t="s">
        <v>121</v>
      </c>
      <c r="C30" s="154" t="s">
        <v>122</v>
      </c>
      <c r="D30" s="155"/>
      <c r="E30" s="156"/>
      <c r="F30" s="157"/>
      <c r="G30" s="157"/>
      <c r="H30" s="157"/>
    </row>
    <row r="31" spans="1:8" ht="16.5" thickBot="1" x14ac:dyDescent="0.3">
      <c r="B31" s="158"/>
      <c r="C31" s="154" t="s">
        <v>123</v>
      </c>
      <c r="D31" s="159" t="s">
        <v>104</v>
      </c>
      <c r="E31" s="156"/>
      <c r="F31" s="157"/>
      <c r="G31" s="157"/>
      <c r="H31" s="157"/>
    </row>
    <row r="32" spans="1:8" ht="15.75" x14ac:dyDescent="0.25">
      <c r="B32" s="160" t="s">
        <v>124</v>
      </c>
      <c r="C32" s="161" t="s">
        <v>125</v>
      </c>
      <c r="D32" s="162"/>
      <c r="E32" s="163" t="s">
        <v>126</v>
      </c>
      <c r="F32" s="164"/>
      <c r="G32" s="164"/>
      <c r="H32" s="164"/>
    </row>
    <row r="33" spans="1:8" ht="80.25" x14ac:dyDescent="0.25">
      <c r="A33" s="97" t="s">
        <v>127</v>
      </c>
      <c r="B33" s="165" t="s">
        <v>128</v>
      </c>
      <c r="C33" s="166" t="s">
        <v>129</v>
      </c>
      <c r="D33" s="167"/>
      <c r="E33" s="163"/>
      <c r="F33" s="168"/>
      <c r="G33" s="168"/>
      <c r="H33" s="168"/>
    </row>
    <row r="34" spans="1:8" ht="15.75" x14ac:dyDescent="0.25">
      <c r="B34" s="169" t="s">
        <v>124</v>
      </c>
      <c r="C34" s="170" t="s">
        <v>130</v>
      </c>
      <c r="D34" s="171"/>
      <c r="E34" s="172" t="s">
        <v>131</v>
      </c>
      <c r="F34" s="164"/>
      <c r="G34" s="164"/>
      <c r="H34" s="164"/>
    </row>
    <row r="35" spans="1:8" ht="65.25" thickBot="1" x14ac:dyDescent="0.3">
      <c r="A35" s="97" t="s">
        <v>111</v>
      </c>
      <c r="B35" s="173" t="s">
        <v>132</v>
      </c>
      <c r="C35" s="174" t="s">
        <v>133</v>
      </c>
      <c r="D35" s="175"/>
      <c r="E35" s="176"/>
      <c r="F35" s="168"/>
      <c r="G35" s="168"/>
      <c r="H35" s="168"/>
    </row>
  </sheetData>
  <mergeCells count="33">
    <mergeCell ref="C34:D34"/>
    <mergeCell ref="E34:E35"/>
    <mergeCell ref="C35:D35"/>
    <mergeCell ref="C28:E28"/>
    <mergeCell ref="C29:E29"/>
    <mergeCell ref="B30:B31"/>
    <mergeCell ref="C32:D32"/>
    <mergeCell ref="E32:E33"/>
    <mergeCell ref="C33:D33"/>
    <mergeCell ref="B20:B22"/>
    <mergeCell ref="C23:E23"/>
    <mergeCell ref="C24:E24"/>
    <mergeCell ref="C25:D25"/>
    <mergeCell ref="C26:E26"/>
    <mergeCell ref="C27:E27"/>
    <mergeCell ref="C11:E11"/>
    <mergeCell ref="C12:E12"/>
    <mergeCell ref="B13:B16"/>
    <mergeCell ref="C17:E17"/>
    <mergeCell ref="C18:E18"/>
    <mergeCell ref="C19:E19"/>
    <mergeCell ref="C5:E5"/>
    <mergeCell ref="C6:E6"/>
    <mergeCell ref="C7:E7"/>
    <mergeCell ref="C8:E8"/>
    <mergeCell ref="C9:E9"/>
    <mergeCell ref="C10:E10"/>
    <mergeCell ref="C1:D1"/>
    <mergeCell ref="E1:E2"/>
    <mergeCell ref="C2:D2"/>
    <mergeCell ref="B3:B4"/>
    <mergeCell ref="D3:E3"/>
    <mergeCell ref="D4:E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P-202</vt:lpstr>
      <vt:lpstr>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2023-08-25T16:18:39Z</dcterms:created>
  <dcterms:modified xsi:type="dcterms:W3CDTF">2023-08-25T16:21:08Z</dcterms:modified>
</cp:coreProperties>
</file>