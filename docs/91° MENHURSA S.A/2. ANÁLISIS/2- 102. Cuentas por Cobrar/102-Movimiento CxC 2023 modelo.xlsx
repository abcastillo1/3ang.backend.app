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 AAA\2023\0. AUDITORÍA MODELO 3ANG 2023\2. ANÁLISIS\2- 102. Cuentas por Cobrar\"/>
    </mc:Choice>
  </mc:AlternateContent>
  <xr:revisionPtr revIDLastSave="0" documentId="13_ncr:1_{D1F18E1B-B9D6-4063-AEDB-EC21BD09EF8C}" xr6:coauthVersionLast="47" xr6:coauthVersionMax="47" xr10:uidLastSave="{00000000-0000-0000-0000-000000000000}"/>
  <bookViews>
    <workbookView xWindow="8550" yWindow="0" windowWidth="12150" windowHeight="10800" tabRatio="696" activeTab="1" xr2:uid="{90AA9479-0F0C-4C7D-935D-6607BB478E27}"/>
  </bookViews>
  <sheets>
    <sheet name="P-102" sheetId="9" r:id="rId1"/>
    <sheet name="102-1" sheetId="8" r:id="rId2"/>
    <sheet name="CxC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9" l="1"/>
  <c r="H8" i="9"/>
  <c r="C18" i="8"/>
  <c r="C17" i="8"/>
  <c r="D4" i="8"/>
</calcChain>
</file>

<file path=xl/sharedStrings.xml><?xml version="1.0" encoding="utf-8"?>
<sst xmlns="http://schemas.openxmlformats.org/spreadsheetml/2006/main" count="234" uniqueCount="176">
  <si>
    <t>Identificación</t>
  </si>
  <si>
    <t>Descripción</t>
  </si>
  <si>
    <t>Debe</t>
  </si>
  <si>
    <t>DIFERENCIA</t>
  </si>
  <si>
    <t>Persona</t>
  </si>
  <si>
    <t>TOTAL</t>
  </si>
  <si>
    <t>1.1.4.3</t>
  </si>
  <si>
    <t>Anticipo a Proveedores</t>
  </si>
  <si>
    <t>VALOR CONFIRMADO</t>
  </si>
  <si>
    <t>VALOR A CONFIRMAR</t>
  </si>
  <si>
    <t>3 A.N.G ADMINISTRACIÓN DE NEGOCIOS GERENCIALES CÍA. LTDA.</t>
  </si>
  <si>
    <t>102-1</t>
  </si>
  <si>
    <t>REPORTE DIARIO DE TRABAJO</t>
  </si>
  <si>
    <t>FECHA:</t>
  </si>
  <si>
    <t>Preliminar:</t>
  </si>
  <si>
    <t>Final:</t>
  </si>
  <si>
    <t>GUIA:</t>
  </si>
  <si>
    <t xml:space="preserve">Integro/Reintegro </t>
  </si>
  <si>
    <t>EMPRESA:</t>
  </si>
  <si>
    <t>XXXXX</t>
  </si>
  <si>
    <t>ELABORADO POR:</t>
  </si>
  <si>
    <t>K.B.</t>
  </si>
  <si>
    <t>REVISADO POR:</t>
  </si>
  <si>
    <t>E.P.</t>
  </si>
  <si>
    <t>APROBADO POR:</t>
  </si>
  <si>
    <t>R.C.</t>
  </si>
  <si>
    <t>PERIODO :</t>
  </si>
  <si>
    <t>Desde el 01 de Enero 2023 al 31 de Diciembre del 2023</t>
  </si>
  <si>
    <t>ÁREA:</t>
  </si>
  <si>
    <t>(102) Cuentas y Documentos por Cobrar</t>
  </si>
  <si>
    <t>MONTO DEL ÁREA:</t>
  </si>
  <si>
    <t>según total sumaria</t>
  </si>
  <si>
    <t>CUENTA:</t>
  </si>
  <si>
    <t>CÓDIGO</t>
  </si>
  <si>
    <t>DESCRIPCIÓN</t>
  </si>
  <si>
    <t>VALOR</t>
  </si>
  <si>
    <t>1.1.1.</t>
  </si>
  <si>
    <t>1.1.1 cxc</t>
  </si>
  <si>
    <t>MONTO DE CUENTA:</t>
  </si>
  <si>
    <t>ALCANCE:</t>
  </si>
  <si>
    <t>MATERIALIDAD:</t>
  </si>
  <si>
    <t>RIESGO:</t>
  </si>
  <si>
    <t>ALTO:</t>
  </si>
  <si>
    <t>MEDIO:</t>
  </si>
  <si>
    <t>(X)</t>
  </si>
  <si>
    <t>BAJO:</t>
  </si>
  <si>
    <t>TIPO DE PRUEBA:</t>
  </si>
  <si>
    <t>Análisis, Cumplimiento y Sustantivas</t>
  </si>
  <si>
    <t>ASEVERACIÓN:</t>
  </si>
  <si>
    <t>Integridad y Exactitud</t>
  </si>
  <si>
    <t>TIEMPO ESTIMADO:</t>
  </si>
  <si>
    <t>HORAS</t>
  </si>
  <si>
    <t>¿¿¿</t>
  </si>
  <si>
    <t>NARRATIVA DE LA PRUEBA</t>
  </si>
  <si>
    <t>Verificar la existencia de deudores incobrables y su método de cálculo contable, Comprobando si hay una valuación permanente respecto de intereses y reajustes del monto de las cuentas por cobrar para efectos del balance  si estos Revisando si estor valores corresponden a transacciones y si no existen devoluciones descuentos o cualquier otro elemento que deba considerarse.</t>
  </si>
  <si>
    <t xml:space="preserve">NIA </t>
  </si>
  <si>
    <t>¿¿</t>
  </si>
  <si>
    <t>NOMBRE NIA</t>
  </si>
  <si>
    <t>CONFIRMACIONES EXTERNA</t>
  </si>
  <si>
    <t>NIA PARRAFO:</t>
  </si>
  <si>
    <t>PYMES, NIIF NIC:</t>
  </si>
  <si>
    <t>NIIF  PYMES:</t>
  </si>
  <si>
    <t>NIIF FULL:</t>
  </si>
  <si>
    <t>NORMA CONTAB.</t>
  </si>
  <si>
    <t>SECCIÓN 11: INSTRUMENTOS FINANCIEROS</t>
  </si>
  <si>
    <t>NIIF PYMES</t>
  </si>
  <si>
    <t>¿¿¿¿¿¿¿</t>
  </si>
  <si>
    <t>DETALLE SECCIÓN:</t>
  </si>
  <si>
    <t>La definición de instrumento financiero es muy amplia e incluye una gran variedad de instrumentos:desde simples cuentas por cobrar y cuentas por pagar, pasando por inversiones en instrumentos de deuda o de patrimonio, hasta transacciones derivadas complejas. Los requerimientos para contabilizar los instrumentos financieros se dividen, por lo tanto, en dos secciones, la Sección 11 Instrumentos Financieros Básicos y la Sección 12 Otros Temas relacionados con los Instrumentos Financieros. Esta división de los requerimientos en dos secciones les permite a las entidades identificar más fácilmente cuáles pueden corresponderles y, en particular, permite separar los requerimientos para instrumentos más sencillos de los requerimientos contables más complejos.</t>
  </si>
  <si>
    <t>NIIF 9- INSTRUMENTOS FINANCIEROS</t>
  </si>
  <si>
    <t>NIIF COMPLETAS</t>
  </si>
  <si>
    <t>¿¿¿¿</t>
  </si>
  <si>
    <t>DETALLE NIIF:</t>
  </si>
  <si>
    <t xml:space="preserve">El objetivo de esta Norma es establecer los principios para la información financiera sobre activos financieros y pasivos financieros, de forma que se presente información útil y relevante para los usuarios de los estados financieros para la evaluación de los importes, calendario e incertidumbre de los flujos de efectivo futuros de la entidad. </t>
  </si>
  <si>
    <t>Algunos ejemplos de procedimientos de auditoría alternativos que el auditor puede aplicar incluye lo siguiente: Para saldos de cuentas a cobrar, examen de cobros posteriores específicos, documentación de envío, y ventas próximas al cierre del periodo.</t>
  </si>
  <si>
    <t>3 ANG ADMINISTRACIÓN DE NEGOCIOS GERENCIALES CÍA LTDA.</t>
  </si>
  <si>
    <t>PROGRAMA DE AUDITORÍA SOBRE LOS ESTADOS FINANCIEROS</t>
  </si>
  <si>
    <t>P-102</t>
  </si>
  <si>
    <t>REF P.T</t>
  </si>
  <si>
    <t xml:space="preserve">CLIENTE:             </t>
  </si>
  <si>
    <t>ABC</t>
  </si>
  <si>
    <t xml:space="preserve">PERIODO:      </t>
  </si>
  <si>
    <t>Del 01 de enero al 31 de diciembre del 2023</t>
  </si>
  <si>
    <t>Final</t>
  </si>
  <si>
    <t>ÁREA</t>
  </si>
  <si>
    <t>CUENTAS Y DOCUMENTOS POR COBRAR</t>
  </si>
  <si>
    <t>(x)</t>
  </si>
  <si>
    <t>Aprobado:</t>
  </si>
  <si>
    <t>Firma y sello</t>
  </si>
  <si>
    <t xml:space="preserve">ELABORADO POR: </t>
  </si>
  <si>
    <t>Elizabeth Palacios</t>
  </si>
  <si>
    <t>R.C</t>
  </si>
  <si>
    <t>Roy Cisneros</t>
  </si>
  <si>
    <t>OBJETIVOS:</t>
  </si>
  <si>
    <t>Las cuentas por cobrar son reclamaciones de la entidad contra sus deudores.  Se exponen, clasifican y describen debidamente en los estados financieros sobre bases uniformes, con las del período de revisión anterior.</t>
  </si>
  <si>
    <t>Se ha realizado la exposición adecuada de las cuentas por cobrar dadas en prenda, descontadas, cedidas o vendidas. Las cuentas y documentos por cobrar son reclamaciones contra sus deudores. Se exponen, clasifican y describen debidamente en los estados financieros.</t>
  </si>
  <si>
    <t>REFERENCIAS</t>
  </si>
  <si>
    <t>REVISIÓN</t>
  </si>
  <si>
    <t>TIPO DE PRUEBA</t>
  </si>
  <si>
    <t>E</t>
  </si>
  <si>
    <t>Existencia u ocurrencia</t>
  </si>
  <si>
    <r>
      <rPr>
        <b/>
        <sz val="10"/>
        <color rgb="FFFF0000"/>
        <rFont val="Times New Roman"/>
        <family val="1"/>
      </rPr>
      <t xml:space="preserve">V  </t>
    </r>
    <r>
      <rPr>
        <sz val="10"/>
        <color theme="1"/>
        <rFont val="Times New Roman"/>
        <family val="1"/>
      </rPr>
      <t xml:space="preserve"> Valuacion</t>
    </r>
  </si>
  <si>
    <t>✓</t>
  </si>
  <si>
    <t>Preliminar</t>
  </si>
  <si>
    <t>Pruebas Suntantivos.</t>
  </si>
  <si>
    <t>I</t>
  </si>
  <si>
    <t>Integridad o totalidad</t>
  </si>
  <si>
    <r>
      <rPr>
        <b/>
        <sz val="10"/>
        <color rgb="FFFF0000"/>
        <rFont val="Times New Roman"/>
        <family val="1"/>
      </rPr>
      <t xml:space="preserve">P   </t>
    </r>
    <r>
      <rPr>
        <sz val="10"/>
        <color theme="1"/>
        <rFont val="Times New Roman"/>
        <family val="1"/>
      </rPr>
      <t xml:space="preserve"> Presentación y divulgación</t>
    </r>
  </si>
  <si>
    <t>D</t>
  </si>
  <si>
    <t>. Pruebas Suntantivas de Detalle.</t>
  </si>
  <si>
    <t>Derechos y obligaciones</t>
  </si>
  <si>
    <r>
      <rPr>
        <b/>
        <sz val="10"/>
        <color rgb="FFFF0000"/>
        <rFont val="Times New Roman"/>
        <family val="1"/>
      </rPr>
      <t>P1</t>
    </r>
    <r>
      <rPr>
        <sz val="10"/>
        <color theme="1"/>
        <rFont val="Times New Roman"/>
        <family val="1"/>
      </rPr>
      <t xml:space="preserve">   Período</t>
    </r>
  </si>
  <si>
    <t>Prel y Final</t>
  </si>
  <si>
    <t>A</t>
  </si>
  <si>
    <t>. Pruebas Suntantivas Analíticas</t>
  </si>
  <si>
    <r>
      <rPr>
        <b/>
        <sz val="10"/>
        <color rgb="FFFF0000"/>
        <rFont val="Times New Roman"/>
        <family val="1"/>
      </rPr>
      <t xml:space="preserve">C  </t>
    </r>
    <r>
      <rPr>
        <sz val="10"/>
        <color theme="1"/>
        <rFont val="Times New Roman"/>
        <family val="1"/>
      </rPr>
      <t xml:space="preserve"> Clasificación</t>
    </r>
  </si>
  <si>
    <t>C</t>
  </si>
  <si>
    <t>Pruebas de Control o Cumplimiento.</t>
  </si>
  <si>
    <t>PROCEDIMIENTOS</t>
  </si>
  <si>
    <t>ASEVERACIÓN</t>
  </si>
  <si>
    <t>REFERENCIA P. T</t>
  </si>
  <si>
    <t>PRUEBAS</t>
  </si>
  <si>
    <t>V</t>
  </si>
  <si>
    <t>P</t>
  </si>
  <si>
    <t>P1</t>
  </si>
  <si>
    <t>Realizar la sumaria</t>
  </si>
  <si>
    <t>102-</t>
  </si>
  <si>
    <t>Realizar el reporte diario</t>
  </si>
  <si>
    <t>Discuta la cobrabilidad de las cuentas, con los funcionarios responsables Determine la suficiencia de la estimación relativa.</t>
  </si>
  <si>
    <t>Obtener un detalle de la antigüedad de las cuentas con los respectivos saldos que conforman las cuentas por cobrar a la fecha de revisión y ligar con el balance general.</t>
  </si>
  <si>
    <t>Verificar que los saldos iniciales de las cuentas del mayor auxiliar crucen con las cifras auditadas en el año anterior.</t>
  </si>
  <si>
    <t>Realizar un análisis de las cuentas antiguas y probar la razonabilidad de la provisión en la cartera.</t>
  </si>
  <si>
    <r>
      <rPr>
        <b/>
        <sz val="12"/>
        <color theme="1"/>
        <rFont val="Times New Roman"/>
        <family val="1"/>
      </rPr>
      <t xml:space="preserve">Enviar confirmaciones </t>
    </r>
    <r>
      <rPr>
        <sz val="12"/>
        <color theme="1"/>
        <rFont val="Times New Roman"/>
        <family val="1"/>
      </rPr>
      <t>de saldos pendientes de cobro a clientes activos a esta fecha de revisione indicar base de selección y el por qué de la misma.</t>
    </r>
  </si>
  <si>
    <t>Realizar revisión analítica entre saldos por cobrar del año anterior y el año auditado en comparación con las ventas en similares períodos y efectuar análisis para determinar la razonabilidad de las variaciones (monto, fecha, condiciones, tasa de interés, etc.).</t>
  </si>
  <si>
    <r>
      <rPr>
        <b/>
        <sz val="12"/>
        <color theme="1"/>
        <rFont val="Times New Roman"/>
        <family val="1"/>
      </rPr>
      <t>Resumir los resultados</t>
    </r>
    <r>
      <rPr>
        <sz val="12"/>
        <color theme="1"/>
        <rFont val="Times New Roman"/>
        <family val="1"/>
      </rPr>
      <t xml:space="preserve"> de las solicitudes de confirmación y procedimientos alternos.</t>
    </r>
  </si>
  <si>
    <t>Obtener el anexo de la cuenta al 31 de diciembre del año auditado y cruzar con cifras del balance.</t>
  </si>
  <si>
    <r>
      <t xml:space="preserve">Verificar las </t>
    </r>
    <r>
      <rPr>
        <b/>
        <sz val="12"/>
        <color theme="1"/>
        <rFont val="Times New Roman"/>
        <family val="1"/>
      </rPr>
      <t>repuestas a las confirmaciones</t>
    </r>
    <r>
      <rPr>
        <sz val="12"/>
        <color theme="1"/>
        <rFont val="Times New Roman"/>
        <family val="1"/>
      </rPr>
      <t xml:space="preserve"> e investigar las excepciones.</t>
    </r>
  </si>
  <si>
    <t>Cuando no se reciban respuestas a las solicitudes de confirmación positivas, aplicar procedimientos alternos (examinar los avisos de cobro subsecuentes, los registros de facturación, los pedidos de clientes, y los archivos de correspondencia).</t>
  </si>
  <si>
    <t>Realizar corte de documentos (facturas, notas de créditos, notas de débitos, recibos de ingresos), cruzar éstas con los datos obtenidos en el inventario físico.</t>
  </si>
  <si>
    <t>Efectúe un estudio de cuentas incobrables revisando saldos de clientes vencidos.  Para ello:</t>
  </si>
  <si>
    <t>a)    Pruebe del estado de antigüedad del cliente en busca de insuficiencia en los importes vencidos, utilizando para este procedimiento muestreo estadístico aleatorio.</t>
  </si>
  <si>
    <t>b)   Seleccione ítems materiales y vencidos significativos del estado de antigüedad y evalúe la razonabilidad de la opinión del cliente acerca de la cobrabilidad.</t>
  </si>
  <si>
    <t>c)    Discuta con el Gerente de crédito y cobranzas su apreciación de la recuperabilidad de saldos.</t>
  </si>
  <si>
    <t>d)   Obtenga el reporte de cartera por antigüedad de saldos y realice un calculo global, a fin de determinar la razonabilidad de su provisión.</t>
  </si>
  <si>
    <t>Por las cuentas de funcionarios y empleados:</t>
  </si>
  <si>
    <t>a)  Determine que los préstamos se estén recuperando adecuadamente.</t>
  </si>
  <si>
    <t>b)   Vea que los anticipos de gastos sean reportados oportunamente.</t>
  </si>
  <si>
    <t>Una vez terminado el estudio cobrabilidad de clientes, agregue los saldos incobrables que hayamos detectado en otras cuentas por cobrar.</t>
  </si>
  <si>
    <t>Realizar revisión analítica de cuentas por cobrar y las ventas entre la etapa preliminar y el cierre.</t>
  </si>
  <si>
    <t>Revise los movimientos de la cuenta de control del mayor de la fecha de circularización al fin de año.</t>
  </si>
  <si>
    <t>Compare saldos de cada cuenta y documentos por cobrar a las fechas de circularización y de cierre.</t>
  </si>
  <si>
    <t>Concluya en la sumaria de acuerdo a los objetivos de la sección.</t>
  </si>
  <si>
    <t>Para las confirmaciones de saldos contestadas y que presenten diferencias con los libros contables, entregue al cliente una copia para su conciliación con los registros de la empresa y determine los ajustes necesarios.</t>
  </si>
  <si>
    <t>Determine si las cuentas por cobrar y clientes corresponden a la compañía.</t>
  </si>
  <si>
    <t>CIRCULARIZACION</t>
  </si>
  <si>
    <t>Entregue a la empresa la lista de las cuentas a circularizar para que le indiquen los datos necesarios.</t>
  </si>
  <si>
    <t>Elabore la circularización.</t>
  </si>
  <si>
    <t>Las cartas circulares y estados de cuenta deben comprobarse como sigue:</t>
  </si>
  <si>
    <t>Compare los saldos de los estados con las circulares y con la relación. Asegúrese de que incluyan todos los saldos de un mismo cliente o deudor.</t>
  </si>
  <si>
    <t>Compruebe algunas direcciones.</t>
  </si>
  <si>
    <t>Después de sesenta días:</t>
  </si>
  <si>
    <t>Envíe una segunda solicitud para las que no contesten.</t>
  </si>
  <si>
    <t>Si hay algunas direcciones erroneas, obtenga la dirección correcta de las cartas devueltas por el correo y envíe otra solicitud.</t>
  </si>
  <si>
    <t>Investigue las diferencias en las cartas contestadas.</t>
  </si>
  <si>
    <t>Archive las circulares conformes.</t>
  </si>
  <si>
    <t>Investigue todas las circulares con diferencias y satisfágase de que las devueltas por el correo corresponden a saldos realmente incobrables.</t>
  </si>
  <si>
    <t>Siga procedimientos alternos por las circulares sin respuesta, examinando: Cobros posteriores, remisiones y facturas originales, contra recibos, recibos de cobradores, etc.</t>
  </si>
  <si>
    <t>Prepare un resumen de los resultados.</t>
  </si>
  <si>
    <t>Entregue y discuta con el gerente general la lista con los nombres y saldos de los clientes que no confirmaron su saldo.</t>
  </si>
  <si>
    <t>comprobar la existencia, la exactitud y la titularidad de los créditos comerciales, por decirlo de una manera circularisation</t>
  </si>
  <si>
    <t>Sírvase proporcionar detalles de porcentaje de respuestas satisfactorias que usted obtuvo.</t>
  </si>
  <si>
    <t>Evaluar la valoración de créditos comerciales por examinar la suficiencia de la dotación para deudas de cobro dudoso y elementos en disputa, incluida una revisión de las notas de crédito emitidas y recibidas en efectivo después del período final</t>
  </si>
  <si>
    <t>Inspeccionar o confirmar de manera independiente las facturas por cobrar</t>
  </si>
  <si>
    <t>Comprobar otras cuentas por cobrar, cuentas de periodificación</t>
  </si>
  <si>
    <t>Determinar si todos los créditos son recuperables en el plazo de un año a partir de la fecha de cierre de balance y las excepciones están claramente indicados</t>
  </si>
  <si>
    <t>CONCLUSIÓN DEL 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</si>
</sst>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(&quot;$&quot;\ * #,##0.00_);_(&quot;$&quot;\ * \(#,##0.00\);_(&quot;$&quot;\ 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rgb="FFFF0000"/>
      <name val="Century Gothic"/>
      <family val="2"/>
    </font>
    <font>
      <sz val="12"/>
      <name val="Times New Roman"/>
      <family val="1"/>
    </font>
    <font>
      <b/>
      <sz val="15"/>
      <name val="Times New Roman"/>
      <family val="1"/>
    </font>
    <font>
      <b/>
      <sz val="20"/>
      <color rgb="FFFF0000"/>
      <name val="Times New Roman"/>
      <family val="1"/>
    </font>
    <font>
      <sz val="12"/>
      <color indexed="62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u/>
      <sz val="12"/>
      <name val="Times New Roman"/>
      <family val="1"/>
    </font>
    <font>
      <sz val="12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2060"/>
      <name val="Calibri Light"/>
      <family val="2"/>
      <scheme val="major"/>
    </font>
    <font>
      <b/>
      <sz val="30"/>
      <color rgb="FFFF0000"/>
      <name val="Arial Black"/>
      <family val="2"/>
    </font>
    <font>
      <b/>
      <sz val="14"/>
      <color rgb="FF002060"/>
      <name val="Calibri Light"/>
      <family val="2"/>
      <scheme val="major"/>
    </font>
    <font>
      <b/>
      <sz val="12"/>
      <color theme="1"/>
      <name val="Times New Roman"/>
      <family val="1"/>
    </font>
    <font>
      <i/>
      <sz val="10"/>
      <color theme="1"/>
      <name val="Calibri Light"/>
      <family val="2"/>
      <scheme val="maj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0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Arial"/>
      <family val="2"/>
    </font>
    <font>
      <sz val="10"/>
      <name val="Times New Roman"/>
      <family val="1"/>
    </font>
    <font>
      <b/>
      <u/>
      <sz val="10"/>
      <name val="Times New Roman"/>
      <family val="1"/>
    </font>
    <font>
      <b/>
      <sz val="10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u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4" fillId="0" borderId="0"/>
  </cellStyleXfs>
  <cellXfs count="203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43" fontId="0" fillId="0" borderId="0" xfId="1" applyFont="1"/>
    <xf numFmtId="43" fontId="5" fillId="0" borderId="0" xfId="1" applyFont="1"/>
    <xf numFmtId="43" fontId="0" fillId="0" borderId="0" xfId="1" applyFont="1" applyFill="1"/>
    <xf numFmtId="43" fontId="2" fillId="0" borderId="1" xfId="1" applyFont="1" applyFill="1" applyBorder="1" applyAlignment="1">
      <alignment horizontal="center"/>
    </xf>
    <xf numFmtId="0" fontId="6" fillId="0" borderId="0" xfId="0" applyFont="1"/>
    <xf numFmtId="0" fontId="2" fillId="0" borderId="0" xfId="0" applyFont="1" applyFill="1" applyBorder="1" applyAlignment="1">
      <alignment horizontal="center"/>
    </xf>
    <xf numFmtId="0" fontId="7" fillId="0" borderId="0" xfId="3" applyFont="1" applyBorder="1" applyAlignment="1">
      <alignment vertical="top" textRotation="255" wrapText="1"/>
    </xf>
    <xf numFmtId="0" fontId="7" fillId="0" borderId="2" xfId="3" applyFont="1" applyBorder="1" applyAlignment="1">
      <alignment horizontal="left" vertic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7" fillId="0" borderId="0" xfId="3" applyFont="1" applyBorder="1" applyAlignment="1">
      <alignment wrapText="1"/>
    </xf>
    <xf numFmtId="0" fontId="7" fillId="0" borderId="5" xfId="3" applyFont="1" applyBorder="1" applyAlignment="1">
      <alignment horizontal="left" vertical="center"/>
    </xf>
    <xf numFmtId="0" fontId="11" fillId="0" borderId="0" xfId="0" applyFont="1" applyAlignment="1">
      <alignment horizontal="center" wrapText="1"/>
    </xf>
    <xf numFmtId="0" fontId="12" fillId="0" borderId="0" xfId="3" applyFont="1" applyBorder="1" applyAlignment="1">
      <alignment horizontal="center" wrapText="1"/>
    </xf>
    <xf numFmtId="0" fontId="11" fillId="0" borderId="0" xfId="3" applyFont="1" applyFill="1" applyBorder="1" applyAlignment="1">
      <alignment wrapText="1"/>
    </xf>
    <xf numFmtId="0" fontId="13" fillId="0" borderId="0" xfId="0" applyFont="1" applyAlignment="1">
      <alignment vertical="top" textRotation="255"/>
    </xf>
    <xf numFmtId="0" fontId="11" fillId="0" borderId="8" xfId="3" applyFont="1" applyBorder="1" applyAlignment="1">
      <alignment horizontal="left" vertical="center"/>
    </xf>
    <xf numFmtId="14" fontId="7" fillId="0" borderId="0" xfId="0" applyNumberFormat="1" applyFont="1" applyAlignment="1">
      <alignment horizontal="left" vertical="center" wrapText="1"/>
    </xf>
    <xf numFmtId="0" fontId="13" fillId="0" borderId="0" xfId="0" applyFont="1"/>
    <xf numFmtId="0" fontId="11" fillId="0" borderId="12" xfId="3" applyFont="1" applyBorder="1" applyAlignment="1">
      <alignment horizontal="left" vertical="center"/>
    </xf>
    <xf numFmtId="0" fontId="11" fillId="0" borderId="11" xfId="3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11" xfId="3" applyFont="1" applyFill="1" applyBorder="1" applyAlignment="1">
      <alignment horizontal="left" vertical="center"/>
    </xf>
    <xf numFmtId="0" fontId="14" fillId="0" borderId="15" xfId="3" applyFont="1" applyBorder="1" applyAlignment="1">
      <alignment horizontal="left" vertical="center"/>
    </xf>
    <xf numFmtId="43" fontId="7" fillId="0" borderId="0" xfId="1" applyFont="1" applyBorder="1" applyAlignment="1">
      <alignment horizontal="left" vertical="center"/>
    </xf>
    <xf numFmtId="43" fontId="7" fillId="0" borderId="0" xfId="1" applyFont="1" applyBorder="1" applyAlignment="1">
      <alignment horizontal="left" vertical="center" wrapText="1"/>
    </xf>
    <xf numFmtId="0" fontId="11" fillId="0" borderId="17" xfId="3" applyFont="1" applyBorder="1" applyAlignment="1">
      <alignment vertical="center"/>
    </xf>
    <xf numFmtId="43" fontId="11" fillId="0" borderId="18" xfId="1" applyFont="1" applyFill="1" applyBorder="1" applyAlignment="1">
      <alignment vertical="center"/>
    </xf>
    <xf numFmtId="43" fontId="11" fillId="0" borderId="19" xfId="1" applyFont="1" applyBorder="1" applyAlignment="1">
      <alignment horizontal="left" vertical="center" wrapText="1"/>
    </xf>
    <xf numFmtId="0" fontId="11" fillId="0" borderId="15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44" fontId="13" fillId="0" borderId="21" xfId="4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21" xfId="0" applyFont="1" applyBorder="1" applyAlignment="1">
      <alignment horizontal="left"/>
    </xf>
    <xf numFmtId="9" fontId="7" fillId="0" borderId="0" xfId="0" applyNumberFormat="1" applyFont="1" applyAlignment="1">
      <alignment horizontal="left" vertical="center" wrapText="1"/>
    </xf>
    <xf numFmtId="0" fontId="11" fillId="0" borderId="12" xfId="3" applyFont="1" applyBorder="1" applyAlignment="1">
      <alignment vertical="center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1" fillId="0" borderId="22" xfId="3" applyFont="1" applyBorder="1" applyAlignment="1">
      <alignment horizontal="left" vertical="center"/>
    </xf>
    <xf numFmtId="0" fontId="11" fillId="0" borderId="23" xfId="3" applyFont="1" applyFill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11" fillId="0" borderId="28" xfId="0" applyFont="1" applyBorder="1" applyAlignment="1">
      <alignment vertical="center"/>
    </xf>
    <xf numFmtId="0" fontId="13" fillId="0" borderId="13" xfId="0" applyFont="1" applyBorder="1"/>
    <xf numFmtId="0" fontId="7" fillId="0" borderId="1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2" fillId="0" borderId="13" xfId="0" applyFont="1" applyBorder="1" applyAlignment="1">
      <alignment vertical="center"/>
    </xf>
    <xf numFmtId="0" fontId="11" fillId="0" borderId="7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11" xfId="0" applyFont="1" applyBorder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11" fillId="2" borderId="11" xfId="0" applyFont="1" applyFill="1" applyBorder="1" applyAlignment="1">
      <alignment horizontal="left" vertical="center"/>
    </xf>
    <xf numFmtId="0" fontId="11" fillId="2" borderId="3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11" fillId="0" borderId="30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15" fillId="0" borderId="21" xfId="0" applyFont="1" applyBorder="1" applyAlignment="1">
      <alignment horizontal="center" vertical="center" textRotation="90" wrapText="1"/>
    </xf>
    <xf numFmtId="0" fontId="15" fillId="0" borderId="16" xfId="0" applyFont="1" applyBorder="1" applyAlignment="1">
      <alignment horizontal="center" vertical="center" textRotation="90" wrapText="1"/>
    </xf>
    <xf numFmtId="0" fontId="7" fillId="0" borderId="32" xfId="0" applyFont="1" applyBorder="1" applyAlignment="1">
      <alignment horizontal="justify" vertical="top" wrapText="1"/>
    </xf>
    <xf numFmtId="0" fontId="7" fillId="0" borderId="33" xfId="0" applyFont="1" applyBorder="1" applyAlignment="1">
      <alignment horizontal="justify" vertical="top" wrapText="1"/>
    </xf>
    <xf numFmtId="0" fontId="11" fillId="0" borderId="28" xfId="0" applyFont="1" applyBorder="1" applyAlignment="1">
      <alignment horizontal="justify" vertical="justify" wrapText="1"/>
    </xf>
    <xf numFmtId="0" fontId="11" fillId="0" borderId="13" xfId="0" applyFont="1" applyBorder="1" applyAlignment="1">
      <alignment horizontal="justify" vertical="justify" wrapText="1"/>
    </xf>
    <xf numFmtId="0" fontId="11" fillId="0" borderId="14" xfId="0" applyFont="1" applyBorder="1" applyAlignment="1">
      <alignment horizontal="justify" vertical="justify" wrapText="1"/>
    </xf>
    <xf numFmtId="0" fontId="7" fillId="0" borderId="28" xfId="0" applyFont="1" applyBorder="1" applyAlignment="1">
      <alignment horizontal="justify" vertical="justify" wrapText="1"/>
    </xf>
    <xf numFmtId="0" fontId="7" fillId="0" borderId="13" xfId="0" applyFont="1" applyBorder="1" applyAlignment="1">
      <alignment horizontal="justify" vertical="justify" wrapText="1"/>
    </xf>
    <xf numFmtId="0" fontId="7" fillId="0" borderId="14" xfId="0" applyFont="1" applyBorder="1" applyAlignment="1">
      <alignment horizontal="justify" vertical="justify" wrapText="1"/>
    </xf>
    <xf numFmtId="0" fontId="11" fillId="0" borderId="27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5" fillId="0" borderId="14" xfId="0" applyFont="1" applyBorder="1" applyAlignment="1">
      <alignment horizontal="center" vertical="center" textRotation="90" wrapText="1"/>
    </xf>
    <xf numFmtId="0" fontId="7" fillId="0" borderId="12" xfId="0" applyFont="1" applyBorder="1" applyAlignment="1">
      <alignment horizontal="justify" vertical="top" wrapText="1"/>
    </xf>
    <xf numFmtId="0" fontId="7" fillId="0" borderId="13" xfId="0" applyFont="1" applyBorder="1" applyAlignment="1">
      <alignment horizontal="justify" vertical="top" wrapText="1"/>
    </xf>
    <xf numFmtId="0" fontId="14" fillId="0" borderId="11" xfId="3" applyFont="1" applyBorder="1" applyAlignment="1">
      <alignment horizontal="left" vertical="center"/>
    </xf>
    <xf numFmtId="0" fontId="7" fillId="0" borderId="12" xfId="0" applyFont="1" applyBorder="1" applyAlignment="1">
      <alignment horizontal="justify" vertical="justify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justify" vertical="justify" wrapText="1"/>
    </xf>
    <xf numFmtId="0" fontId="7" fillId="0" borderId="25" xfId="0" applyFont="1" applyBorder="1" applyAlignment="1">
      <alignment horizontal="justify" vertical="justify" wrapText="1"/>
    </xf>
    <xf numFmtId="0" fontId="7" fillId="0" borderId="26" xfId="0" applyFont="1" applyBorder="1" applyAlignment="1">
      <alignment horizontal="justify" vertical="justify" wrapText="1"/>
    </xf>
    <xf numFmtId="0" fontId="11" fillId="0" borderId="12" xfId="0" applyFont="1" applyBorder="1" applyAlignment="1">
      <alignment horizontal="justify" vertical="justify"/>
    </xf>
    <xf numFmtId="0" fontId="11" fillId="0" borderId="13" xfId="0" applyFont="1" applyBorder="1" applyAlignment="1">
      <alignment horizontal="justify" vertical="justify"/>
    </xf>
    <xf numFmtId="0" fontId="11" fillId="0" borderId="14" xfId="0" applyFont="1" applyBorder="1" applyAlignment="1">
      <alignment horizontal="justify" vertical="justify"/>
    </xf>
    <xf numFmtId="43" fontId="11" fillId="0" borderId="5" xfId="1" applyFont="1" applyFill="1" applyBorder="1" applyAlignment="1">
      <alignment horizontal="center" vertical="center"/>
    </xf>
    <xf numFmtId="43" fontId="11" fillId="0" borderId="1" xfId="1" applyFont="1" applyFill="1" applyBorder="1" applyAlignment="1">
      <alignment horizontal="center" vertical="center"/>
    </xf>
    <xf numFmtId="43" fontId="11" fillId="0" borderId="16" xfId="1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justify" vertical="justify"/>
    </xf>
    <xf numFmtId="0" fontId="7" fillId="0" borderId="13" xfId="0" applyFont="1" applyBorder="1" applyAlignment="1">
      <alignment horizontal="justify" vertical="justify"/>
    </xf>
    <xf numFmtId="0" fontId="7" fillId="0" borderId="14" xfId="0" applyFont="1" applyBorder="1" applyAlignment="1">
      <alignment horizontal="justify" vertical="justify"/>
    </xf>
    <xf numFmtId="9" fontId="7" fillId="0" borderId="12" xfId="2" applyFont="1" applyFill="1" applyBorder="1" applyAlignment="1">
      <alignment horizontal="justify" vertical="justify"/>
    </xf>
    <xf numFmtId="9" fontId="7" fillId="0" borderId="13" xfId="2" applyFont="1" applyFill="1" applyBorder="1" applyAlignment="1">
      <alignment horizontal="justify" vertical="justify"/>
    </xf>
    <xf numFmtId="9" fontId="7" fillId="0" borderId="14" xfId="2" applyFont="1" applyFill="1" applyBorder="1" applyAlignment="1">
      <alignment horizontal="justify" vertical="justify"/>
    </xf>
    <xf numFmtId="0" fontId="7" fillId="0" borderId="12" xfId="0" applyFont="1" applyBorder="1" applyAlignment="1">
      <alignment horizontal="justify" vertical="justify"/>
    </xf>
    <xf numFmtId="0" fontId="8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0" borderId="7" xfId="3" applyFont="1" applyBorder="1" applyAlignment="1">
      <alignment horizontal="left" vertical="center"/>
    </xf>
    <xf numFmtId="14" fontId="11" fillId="0" borderId="9" xfId="3" applyNumberFormat="1" applyFont="1" applyFill="1" applyBorder="1" applyAlignment="1">
      <alignment horizontal="justify" vertical="justify"/>
    </xf>
    <xf numFmtId="14" fontId="11" fillId="0" borderId="10" xfId="3" applyNumberFormat="1" applyFont="1" applyFill="1" applyBorder="1" applyAlignment="1">
      <alignment horizontal="justify" vertical="justify"/>
    </xf>
    <xf numFmtId="14" fontId="11" fillId="0" borderId="13" xfId="3" applyNumberFormat="1" applyFont="1" applyFill="1" applyBorder="1" applyAlignment="1">
      <alignment horizontal="justify" vertical="justify"/>
    </xf>
    <xf numFmtId="14" fontId="11" fillId="0" borderId="14" xfId="3" applyNumberFormat="1" applyFont="1" applyFill="1" applyBorder="1" applyAlignment="1">
      <alignment horizontal="justify" vertical="justify"/>
    </xf>
    <xf numFmtId="0" fontId="17" fillId="0" borderId="0" xfId="0" applyFont="1" applyAlignment="1">
      <alignment textRotation="255"/>
    </xf>
    <xf numFmtId="0" fontId="18" fillId="0" borderId="0" xfId="0" applyFont="1" applyAlignment="1">
      <alignment horizontal="center"/>
    </xf>
    <xf numFmtId="0" fontId="19" fillId="0" borderId="34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19" fillId="0" borderId="35" xfId="0" applyFont="1" applyBorder="1" applyAlignment="1">
      <alignment horizontal="center" vertical="center"/>
    </xf>
    <xf numFmtId="0" fontId="13" fillId="0" borderId="0" xfId="0" applyFont="1" applyAlignment="1">
      <alignment textRotation="255"/>
    </xf>
    <xf numFmtId="0" fontId="11" fillId="0" borderId="0" xfId="3" applyFont="1" applyFill="1" applyAlignment="1"/>
    <xf numFmtId="0" fontId="19" fillId="0" borderId="25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2" fillId="0" borderId="36" xfId="0" applyFont="1" applyBorder="1" applyAlignment="1">
      <alignment horizontal="right"/>
    </xf>
    <xf numFmtId="14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14" fontId="23" fillId="0" borderId="15" xfId="0" applyNumberFormat="1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14" fontId="23" fillId="0" borderId="5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13" fillId="0" borderId="16" xfId="0" applyFont="1" applyBorder="1"/>
    <xf numFmtId="0" fontId="11" fillId="0" borderId="0" xfId="3" applyFont="1" applyFill="1" applyAlignment="1">
      <alignment horizontal="left" vertical="center"/>
    </xf>
    <xf numFmtId="0" fontId="23" fillId="0" borderId="0" xfId="0" applyFont="1" applyAlignment="1">
      <alignment horizontal="justify" vertical="justify"/>
    </xf>
    <xf numFmtId="0" fontId="7" fillId="0" borderId="0" xfId="0" applyFont="1" applyAlignment="1">
      <alignment textRotation="255" wrapText="1"/>
    </xf>
    <xf numFmtId="0" fontId="11" fillId="0" borderId="0" xfId="3" applyFont="1" applyFill="1" applyBorder="1" applyAlignment="1">
      <alignment horizontal="left" vertical="center"/>
    </xf>
    <xf numFmtId="0" fontId="24" fillId="0" borderId="0" xfId="0" applyFont="1" applyAlignment="1">
      <alignment horizontal="justify" vertical="justify"/>
    </xf>
    <xf numFmtId="0" fontId="23" fillId="0" borderId="0" xfId="0" applyFont="1" applyAlignment="1">
      <alignment horizontal="justify" vertical="justify"/>
    </xf>
    <xf numFmtId="0" fontId="25" fillId="0" borderId="0" xfId="0" applyFont="1" applyAlignment="1">
      <alignment horizontal="center"/>
    </xf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horizontal="right"/>
    </xf>
    <xf numFmtId="0" fontId="28" fillId="0" borderId="0" xfId="0" applyFont="1"/>
    <xf numFmtId="0" fontId="27" fillId="0" borderId="0" xfId="5" applyFont="1" applyAlignment="1">
      <alignment horizontal="right" vertical="top" wrapText="1"/>
    </xf>
    <xf numFmtId="0" fontId="29" fillId="0" borderId="0" xfId="0" applyFont="1"/>
    <xf numFmtId="0" fontId="30" fillId="0" borderId="0" xfId="0" applyFont="1"/>
    <xf numFmtId="0" fontId="31" fillId="0" borderId="0" xfId="0" applyFont="1"/>
    <xf numFmtId="49" fontId="27" fillId="0" borderId="0" xfId="5" applyNumberFormat="1" applyFont="1" applyAlignment="1">
      <alignment horizontal="right" vertical="top" wrapText="1"/>
    </xf>
    <xf numFmtId="0" fontId="26" fillId="0" borderId="0" xfId="0" applyFont="1" applyAlignment="1">
      <alignment textRotation="255"/>
    </xf>
    <xf numFmtId="0" fontId="21" fillId="0" borderId="8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vertical="center"/>
    </xf>
    <xf numFmtId="0" fontId="12" fillId="0" borderId="33" xfId="0" applyFont="1" applyBorder="1" applyAlignment="1">
      <alignment vertical="center"/>
    </xf>
    <xf numFmtId="0" fontId="24" fillId="0" borderId="32" xfId="0" applyFont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left" vertical="justify"/>
    </xf>
    <xf numFmtId="0" fontId="21" fillId="0" borderId="10" xfId="0" applyFont="1" applyBorder="1" applyAlignment="1">
      <alignment horizontal="left" vertical="justify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 wrapText="1"/>
    </xf>
    <xf numFmtId="0" fontId="21" fillId="0" borderId="44" xfId="0" applyFont="1" applyBorder="1" applyAlignment="1">
      <alignment horizontal="center" vertical="center"/>
    </xf>
    <xf numFmtId="0" fontId="13" fillId="0" borderId="12" xfId="0" applyFont="1" applyBorder="1" applyAlignment="1">
      <alignment horizontal="justify" vertical="justify"/>
    </xf>
    <xf numFmtId="0" fontId="13" fillId="0" borderId="14" xfId="0" applyFont="1" applyBorder="1" applyAlignment="1">
      <alignment horizontal="justify" vertical="justify"/>
    </xf>
    <xf numFmtId="0" fontId="13" fillId="0" borderId="28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45" xfId="0" applyFont="1" applyBorder="1"/>
    <xf numFmtId="0" fontId="13" fillId="0" borderId="14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21" fillId="0" borderId="12" xfId="0" applyFont="1" applyBorder="1" applyAlignment="1">
      <alignment horizontal="justify" vertical="justify"/>
    </xf>
    <xf numFmtId="0" fontId="21" fillId="0" borderId="14" xfId="0" applyFont="1" applyBorder="1" applyAlignment="1">
      <alignment horizontal="justify" vertical="justify"/>
    </xf>
    <xf numFmtId="0" fontId="21" fillId="0" borderId="0" xfId="0" applyFont="1" applyAlignment="1">
      <alignment textRotation="255"/>
    </xf>
    <xf numFmtId="0" fontId="21" fillId="0" borderId="28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45" xfId="0" applyFont="1" applyBorder="1"/>
    <xf numFmtId="0" fontId="32" fillId="0" borderId="12" xfId="0" applyFont="1" applyBorder="1" applyAlignment="1">
      <alignment horizontal="justify" vertical="justify"/>
    </xf>
    <xf numFmtId="0" fontId="32" fillId="0" borderId="14" xfId="0" applyFont="1" applyBorder="1" applyAlignment="1">
      <alignment horizontal="justify" vertical="justify"/>
    </xf>
    <xf numFmtId="0" fontId="33" fillId="0" borderId="12" xfId="0" applyFont="1" applyBorder="1" applyAlignment="1">
      <alignment horizontal="justify" vertical="justify"/>
    </xf>
    <xf numFmtId="0" fontId="33" fillId="0" borderId="14" xfId="0" applyFont="1" applyBorder="1" applyAlignment="1">
      <alignment horizontal="justify" vertical="justify"/>
    </xf>
    <xf numFmtId="0" fontId="13" fillId="0" borderId="32" xfId="0" applyFont="1" applyBorder="1" applyAlignment="1">
      <alignment horizontal="justify" vertical="justify"/>
    </xf>
    <xf numFmtId="0" fontId="13" fillId="0" borderId="40" xfId="0" applyFont="1" applyBorder="1" applyAlignment="1">
      <alignment horizontal="justify" vertical="justify"/>
    </xf>
    <xf numFmtId="0" fontId="13" fillId="0" borderId="41" xfId="0" applyFont="1" applyBorder="1"/>
    <xf numFmtId="0" fontId="13" fillId="0" borderId="33" xfId="0" applyFont="1" applyBorder="1"/>
    <xf numFmtId="0" fontId="13" fillId="0" borderId="32" xfId="0" applyFont="1" applyBorder="1"/>
    <xf numFmtId="0" fontId="13" fillId="0" borderId="40" xfId="0" applyFont="1" applyBorder="1"/>
    <xf numFmtId="0" fontId="13" fillId="0" borderId="42" xfId="0" applyFont="1" applyBorder="1"/>
    <xf numFmtId="0" fontId="21" fillId="0" borderId="0" xfId="0" applyFont="1" applyAlignment="1">
      <alignment horizontal="justify" vertical="justify"/>
    </xf>
    <xf numFmtId="0" fontId="13" fillId="0" borderId="17" xfId="0" applyFont="1" applyBorder="1" applyAlignment="1">
      <alignment horizontal="center"/>
    </xf>
    <xf numFmtId="0" fontId="13" fillId="0" borderId="46" xfId="0" applyFont="1" applyBorder="1" applyAlignment="1">
      <alignment horizontal="center"/>
    </xf>
    <xf numFmtId="0" fontId="13" fillId="0" borderId="19" xfId="0" applyFont="1" applyBorder="1" applyAlignment="1">
      <alignment horizontal="center"/>
    </xf>
  </cellXfs>
  <cellStyles count="6">
    <cellStyle name="Millares" xfId="1" builtinId="3"/>
    <cellStyle name="Moneda" xfId="4" builtinId="4"/>
    <cellStyle name="Normal" xfId="0" builtinId="0"/>
    <cellStyle name="Normal 2" xfId="3" xr:uid="{826238DE-416D-4945-9F13-39B3B62901CD}"/>
    <cellStyle name="Normal 47" xfId="5" xr:uid="{E3E5D2DA-E50D-43FA-B16D-33E8B8704872}"/>
    <cellStyle name="Porcentaje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0</xdr:rowOff>
    </xdr:from>
    <xdr:to>
      <xdr:col>2</xdr:col>
      <xdr:colOff>1200150</xdr:colOff>
      <xdr:row>3</xdr:row>
      <xdr:rowOff>0</xdr:rowOff>
    </xdr:to>
    <xdr:pic>
      <xdr:nvPicPr>
        <xdr:cNvPr id="2" name="Imagen 1" descr="C:\Users\Usuario\Desktop\A AUDITORIAS\A AUDITORIAS\2018\LOGOS\Logo 1\3ANG_LOGO.png">
          <a:extLst>
            <a:ext uri="{FF2B5EF4-FFF2-40B4-BE49-F238E27FC236}">
              <a16:creationId xmlns:a16="http://schemas.microsoft.com/office/drawing/2014/main" id="{3406BD89-EF77-47E6-ABF3-0F3A6532B7C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1" y="0"/>
          <a:ext cx="1209674" cy="6286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57150</xdr:colOff>
      <xdr:row>0</xdr:row>
      <xdr:rowOff>0</xdr:rowOff>
    </xdr:from>
    <xdr:to>
      <xdr:col>18</xdr:col>
      <xdr:colOff>95250</xdr:colOff>
      <xdr:row>1</xdr:row>
      <xdr:rowOff>200025</xdr:rowOff>
    </xdr:to>
    <xdr:sp macro="" textlink="">
      <xdr:nvSpPr>
        <xdr:cNvPr id="3" name="Flecha derech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07F598-5D40-4FDF-8122-9A0DD24E678B}"/>
            </a:ext>
          </a:extLst>
        </xdr:cNvPr>
        <xdr:cNvSpPr/>
      </xdr:nvSpPr>
      <xdr:spPr>
        <a:xfrm>
          <a:off x="9077325" y="0"/>
          <a:ext cx="800100" cy="4667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1100"/>
            <a:t>VOLVER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19050</xdr:rowOff>
    </xdr:from>
    <xdr:to>
      <xdr:col>1</xdr:col>
      <xdr:colOff>1485900</xdr:colOff>
      <xdr:row>1</xdr:row>
      <xdr:rowOff>342207</xdr:rowOff>
    </xdr:to>
    <xdr:pic>
      <xdr:nvPicPr>
        <xdr:cNvPr id="2" name="Imagen 2" descr="C:\Users\Usuario\Desktop\A AUDITORIAS\A AUDITORIAS\2018\LOGOS\Logo 1\3ANG_LOGO.png">
          <a:extLst>
            <a:ext uri="{FF2B5EF4-FFF2-40B4-BE49-F238E27FC236}">
              <a16:creationId xmlns:a16="http://schemas.microsoft.com/office/drawing/2014/main" id="{5195C210-68FD-41DC-A566-B685C7CEE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9050"/>
          <a:ext cx="1228725" cy="685107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6</xdr:col>
      <xdr:colOff>800100</xdr:colOff>
      <xdr:row>1</xdr:row>
      <xdr:rowOff>228600</xdr:rowOff>
    </xdr:to>
    <xdr:sp macro="" textlink="">
      <xdr:nvSpPr>
        <xdr:cNvPr id="3" name="Flecha derech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EC998D-03E2-4142-A966-6C28848FC81E}"/>
            </a:ext>
          </a:extLst>
        </xdr:cNvPr>
        <xdr:cNvSpPr/>
      </xdr:nvSpPr>
      <xdr:spPr>
        <a:xfrm>
          <a:off x="10591800" y="0"/>
          <a:ext cx="800100" cy="5905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1100"/>
            <a:t>VOLVER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EBCF-4003-41E3-8183-1B6CDC22D7D4}">
  <dimension ref="A1:R76"/>
  <sheetViews>
    <sheetView topLeftCell="A16" workbookViewId="0">
      <selection activeCell="C27" sqref="C27:D27"/>
    </sheetView>
  </sheetViews>
  <sheetFormatPr baseColWidth="10" defaultRowHeight="15" x14ac:dyDescent="0.25"/>
  <cols>
    <col min="1" max="1" width="1.7109375" style="110" customWidth="1"/>
    <col min="2" max="2" width="2.7109375" customWidth="1"/>
    <col min="3" max="3" width="19.28515625" customWidth="1"/>
    <col min="4" max="4" width="49.140625" customWidth="1"/>
    <col min="5" max="11" width="3" customWidth="1"/>
    <col min="12" max="12" width="6.28515625" customWidth="1"/>
    <col min="13" max="13" width="4.7109375" customWidth="1"/>
    <col min="14" max="14" width="3.5703125" customWidth="1"/>
    <col min="15" max="15" width="4" customWidth="1"/>
    <col min="16" max="16" width="3.5703125" customWidth="1"/>
    <col min="17" max="17" width="19.28515625" customWidth="1"/>
  </cols>
  <sheetData>
    <row r="1" spans="1:17" ht="21" x14ac:dyDescent="0.35">
      <c r="D1" s="111" t="s">
        <v>75</v>
      </c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1:17" ht="21" x14ac:dyDescent="0.35">
      <c r="D2" s="111" t="s">
        <v>76</v>
      </c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2" t="s">
        <v>77</v>
      </c>
    </row>
    <row r="3" spans="1:17" ht="9" customHeight="1" x14ac:dyDescent="0.3"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4" t="s">
        <v>78</v>
      </c>
      <c r="Q3" s="115"/>
    </row>
    <row r="4" spans="1:17" s="21" customFormat="1" ht="15.75" customHeight="1" x14ac:dyDescent="0.25">
      <c r="A4" s="116"/>
      <c r="B4" s="117" t="s">
        <v>79</v>
      </c>
      <c r="C4" s="117"/>
      <c r="D4" s="21" t="s">
        <v>80</v>
      </c>
      <c r="P4" s="114"/>
      <c r="Q4" s="118"/>
    </row>
    <row r="5" spans="1:17" s="21" customFormat="1" ht="15.75" customHeight="1" thickBot="1" x14ac:dyDescent="0.3">
      <c r="A5" s="116"/>
      <c r="B5" s="117" t="s">
        <v>81</v>
      </c>
      <c r="C5" s="117"/>
      <c r="D5" s="21" t="s">
        <v>82</v>
      </c>
      <c r="H5" s="119" t="s">
        <v>14</v>
      </c>
      <c r="I5" s="119"/>
      <c r="J5" s="119"/>
      <c r="K5" s="119"/>
      <c r="L5" s="120"/>
      <c r="M5" s="120" t="s">
        <v>83</v>
      </c>
      <c r="N5" s="119"/>
      <c r="O5" s="119"/>
      <c r="P5" s="119"/>
    </row>
    <row r="6" spans="1:17" s="21" customFormat="1" ht="15.75" x14ac:dyDescent="0.25">
      <c r="A6" s="116"/>
      <c r="B6" s="117" t="s">
        <v>84</v>
      </c>
      <c r="C6" s="117"/>
      <c r="D6" s="121" t="s">
        <v>85</v>
      </c>
      <c r="H6" s="122" t="s">
        <v>86</v>
      </c>
      <c r="I6" s="122"/>
      <c r="J6" s="122"/>
      <c r="K6" s="122"/>
      <c r="L6" s="123"/>
      <c r="M6" s="123"/>
      <c r="N6" s="124" t="s">
        <v>87</v>
      </c>
      <c r="O6" s="125"/>
      <c r="P6" s="125"/>
      <c r="Q6" s="126" t="s">
        <v>88</v>
      </c>
    </row>
    <row r="7" spans="1:17" s="21" customFormat="1" ht="15.75" x14ac:dyDescent="0.25">
      <c r="A7" s="116"/>
      <c r="B7" s="117" t="s">
        <v>89</v>
      </c>
      <c r="C7" s="117"/>
      <c r="D7" s="21" t="s">
        <v>90</v>
      </c>
      <c r="E7" s="121" t="s">
        <v>13</v>
      </c>
      <c r="H7" s="127">
        <v>45162</v>
      </c>
      <c r="I7" s="128"/>
      <c r="J7" s="128"/>
      <c r="K7" s="128"/>
      <c r="L7" s="127">
        <v>45163</v>
      </c>
      <c r="M7" s="127"/>
      <c r="N7" s="129"/>
      <c r="O7" s="128"/>
      <c r="P7" s="128"/>
      <c r="Q7" s="130" t="s">
        <v>91</v>
      </c>
    </row>
    <row r="8" spans="1:17" s="21" customFormat="1" ht="16.5" thickBot="1" x14ac:dyDescent="0.3">
      <c r="A8" s="116"/>
      <c r="B8" s="117" t="s">
        <v>22</v>
      </c>
      <c r="C8" s="117"/>
      <c r="D8" s="21" t="s">
        <v>92</v>
      </c>
      <c r="E8" s="121" t="s">
        <v>13</v>
      </c>
      <c r="H8" s="127">
        <f>+H7+20</f>
        <v>45182</v>
      </c>
      <c r="I8" s="128"/>
      <c r="J8" s="128"/>
      <c r="K8" s="128"/>
      <c r="L8" s="127">
        <f>+L7+1</f>
        <v>45164</v>
      </c>
      <c r="M8" s="127"/>
      <c r="N8" s="131"/>
      <c r="O8" s="132"/>
      <c r="P8" s="132"/>
      <c r="Q8" s="133"/>
    </row>
    <row r="9" spans="1:17" s="21" customFormat="1" ht="33" x14ac:dyDescent="0.25">
      <c r="A9" s="116">
        <v>11</v>
      </c>
      <c r="B9" s="134" t="s">
        <v>93</v>
      </c>
      <c r="C9" s="134"/>
      <c r="D9" s="135" t="s">
        <v>94</v>
      </c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</row>
    <row r="10" spans="1:17" s="21" customFormat="1" ht="33" x14ac:dyDescent="0.25">
      <c r="A10" s="116">
        <v>11</v>
      </c>
      <c r="B10" s="134"/>
      <c r="C10" s="134"/>
      <c r="D10" s="135" t="s">
        <v>95</v>
      </c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</row>
    <row r="11" spans="1:17" s="21" customFormat="1" ht="15.75" x14ac:dyDescent="0.25">
      <c r="A11" s="136"/>
      <c r="B11" s="137"/>
      <c r="C11" s="137"/>
      <c r="D11" s="138" t="s">
        <v>96</v>
      </c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</row>
    <row r="12" spans="1:17" s="141" customFormat="1" ht="15" customHeight="1" x14ac:dyDescent="0.2">
      <c r="A12" s="136"/>
      <c r="B12" s="140" t="s">
        <v>48</v>
      </c>
      <c r="C12" s="140"/>
      <c r="D12" s="140"/>
      <c r="I12" s="142" t="s">
        <v>97</v>
      </c>
      <c r="N12" s="142" t="s">
        <v>98</v>
      </c>
    </row>
    <row r="13" spans="1:17" s="141" customFormat="1" ht="14.25" x14ac:dyDescent="0.2">
      <c r="A13" s="136"/>
      <c r="B13" s="143" t="s">
        <v>99</v>
      </c>
      <c r="C13" s="141" t="s">
        <v>100</v>
      </c>
      <c r="D13" s="141" t="s">
        <v>101</v>
      </c>
      <c r="E13" s="144" t="s">
        <v>102</v>
      </c>
      <c r="H13" s="145"/>
      <c r="I13" s="146" t="s">
        <v>103</v>
      </c>
      <c r="K13" s="145"/>
      <c r="L13" s="145"/>
      <c r="N13" s="147" t="s">
        <v>104</v>
      </c>
      <c r="O13" s="146"/>
    </row>
    <row r="14" spans="1:17" s="141" customFormat="1" ht="12.75" x14ac:dyDescent="0.2">
      <c r="A14" s="136"/>
      <c r="B14" s="143" t="s">
        <v>105</v>
      </c>
      <c r="C14" s="141" t="s">
        <v>106</v>
      </c>
      <c r="D14" s="141" t="s">
        <v>107</v>
      </c>
      <c r="H14" s="145"/>
      <c r="I14" s="146" t="s">
        <v>83</v>
      </c>
      <c r="J14" s="148"/>
      <c r="K14" s="145"/>
      <c r="L14" s="145"/>
      <c r="M14" s="149" t="s">
        <v>108</v>
      </c>
      <c r="N14" s="146" t="s">
        <v>109</v>
      </c>
      <c r="O14" s="146"/>
    </row>
    <row r="15" spans="1:17" s="141" customFormat="1" ht="12.75" x14ac:dyDescent="0.2">
      <c r="A15" s="136"/>
      <c r="B15" s="143" t="s">
        <v>108</v>
      </c>
      <c r="C15" s="141" t="s">
        <v>110</v>
      </c>
      <c r="D15" s="141" t="s">
        <v>111</v>
      </c>
      <c r="H15" s="145"/>
      <c r="I15" s="146" t="s">
        <v>112</v>
      </c>
      <c r="J15" s="148"/>
      <c r="K15" s="145"/>
      <c r="L15" s="145"/>
      <c r="M15" s="149" t="s">
        <v>113</v>
      </c>
      <c r="N15" s="146" t="s">
        <v>114</v>
      </c>
      <c r="O15" s="146"/>
    </row>
    <row r="16" spans="1:17" s="141" customFormat="1" ht="12.75" x14ac:dyDescent="0.2">
      <c r="A16" s="136"/>
      <c r="C16" s="143"/>
      <c r="D16" s="141" t="s">
        <v>115</v>
      </c>
      <c r="H16" s="145"/>
      <c r="I16" s="146"/>
      <c r="J16" s="148"/>
      <c r="K16" s="145"/>
      <c r="L16" s="145"/>
      <c r="M16" s="149" t="s">
        <v>116</v>
      </c>
      <c r="N16" s="147" t="s">
        <v>117</v>
      </c>
      <c r="O16" s="146"/>
    </row>
    <row r="17" spans="1:17" s="141" customFormat="1" ht="6.75" customHeight="1" thickBot="1" x14ac:dyDescent="0.25">
      <c r="A17" s="150"/>
      <c r="C17" s="143"/>
    </row>
    <row r="18" spans="1:17" ht="15.75" x14ac:dyDescent="0.25">
      <c r="C18" s="151" t="s">
        <v>118</v>
      </c>
      <c r="D18" s="152"/>
      <c r="E18" s="153" t="s">
        <v>119</v>
      </c>
      <c r="F18" s="154"/>
      <c r="G18" s="154"/>
      <c r="H18" s="154"/>
      <c r="I18" s="154"/>
      <c r="J18" s="154"/>
      <c r="K18" s="154"/>
      <c r="L18" s="155" t="s">
        <v>120</v>
      </c>
      <c r="M18" s="156"/>
      <c r="N18" s="153" t="s">
        <v>121</v>
      </c>
      <c r="O18" s="154"/>
      <c r="P18" s="154"/>
      <c r="Q18" s="157" t="s">
        <v>97</v>
      </c>
    </row>
    <row r="19" spans="1:17" ht="16.5" thickBot="1" x14ac:dyDescent="0.3">
      <c r="C19" s="158"/>
      <c r="D19" s="159"/>
      <c r="E19" s="160" t="s">
        <v>99</v>
      </c>
      <c r="F19" s="161" t="s">
        <v>105</v>
      </c>
      <c r="G19" s="161" t="s">
        <v>108</v>
      </c>
      <c r="H19" s="161" t="s">
        <v>122</v>
      </c>
      <c r="I19" s="161" t="s">
        <v>123</v>
      </c>
      <c r="J19" s="161" t="s">
        <v>124</v>
      </c>
      <c r="K19" s="161" t="s">
        <v>116</v>
      </c>
      <c r="L19" s="162"/>
      <c r="M19" s="163"/>
      <c r="N19" s="160" t="s">
        <v>108</v>
      </c>
      <c r="O19" s="161" t="s">
        <v>113</v>
      </c>
      <c r="P19" s="161" t="s">
        <v>116</v>
      </c>
      <c r="Q19" s="164"/>
    </row>
    <row r="20" spans="1:17" s="21" customFormat="1" ht="15.75" x14ac:dyDescent="0.25">
      <c r="A20" s="116"/>
      <c r="C20" s="165"/>
      <c r="D20" s="166"/>
      <c r="E20" s="167"/>
      <c r="F20" s="168"/>
      <c r="G20" s="168"/>
      <c r="H20" s="168"/>
      <c r="I20" s="168"/>
      <c r="J20" s="168"/>
      <c r="K20" s="168"/>
      <c r="L20" s="169"/>
      <c r="M20" s="170"/>
      <c r="N20" s="167"/>
      <c r="O20" s="168"/>
      <c r="P20" s="168"/>
      <c r="Q20" s="171"/>
    </row>
    <row r="21" spans="1:17" s="21" customFormat="1" ht="15.75" x14ac:dyDescent="0.25">
      <c r="A21" s="116"/>
      <c r="C21" s="172" t="s">
        <v>125</v>
      </c>
      <c r="D21" s="173"/>
      <c r="E21" s="174"/>
      <c r="F21" s="175"/>
      <c r="G21" s="175"/>
      <c r="H21" s="175"/>
      <c r="I21" s="175"/>
      <c r="J21" s="175"/>
      <c r="K21" s="175"/>
      <c r="L21" s="176" t="s">
        <v>126</v>
      </c>
      <c r="M21" s="177">
        <v>1</v>
      </c>
      <c r="N21" s="174"/>
      <c r="O21" s="175"/>
      <c r="P21" s="175"/>
      <c r="Q21" s="178"/>
    </row>
    <row r="22" spans="1:17" s="21" customFormat="1" ht="17.25" x14ac:dyDescent="0.25">
      <c r="A22" s="116">
        <v>1</v>
      </c>
      <c r="C22" s="172" t="s">
        <v>127</v>
      </c>
      <c r="D22" s="173"/>
      <c r="E22" s="174"/>
      <c r="F22" s="175"/>
      <c r="G22" s="175"/>
      <c r="H22" s="175"/>
      <c r="I22" s="175"/>
      <c r="J22" s="175"/>
      <c r="K22" s="175"/>
      <c r="L22" s="176" t="s">
        <v>126</v>
      </c>
      <c r="M22" s="179"/>
      <c r="N22" s="174"/>
      <c r="O22" s="175"/>
      <c r="P22" s="175"/>
      <c r="Q22" s="178"/>
    </row>
    <row r="23" spans="1:17" s="21" customFormat="1" ht="33" x14ac:dyDescent="0.25">
      <c r="A23" s="116">
        <v>11</v>
      </c>
      <c r="C23" s="172" t="s">
        <v>128</v>
      </c>
      <c r="D23" s="173"/>
      <c r="E23" s="174"/>
      <c r="F23" s="175"/>
      <c r="G23" s="175"/>
      <c r="H23" s="175"/>
      <c r="I23" s="175"/>
      <c r="J23" s="175"/>
      <c r="K23" s="175"/>
      <c r="L23" s="176" t="s">
        <v>126</v>
      </c>
      <c r="M23" s="179"/>
      <c r="N23" s="174"/>
      <c r="O23" s="175"/>
      <c r="P23" s="175"/>
      <c r="Q23" s="178"/>
    </row>
    <row r="24" spans="1:17" s="21" customFormat="1" ht="48.75" x14ac:dyDescent="0.25">
      <c r="A24" s="116">
        <v>111</v>
      </c>
      <c r="C24" s="172" t="s">
        <v>129</v>
      </c>
      <c r="D24" s="173"/>
      <c r="E24" s="174"/>
      <c r="F24" s="175"/>
      <c r="G24" s="175"/>
      <c r="H24" s="175"/>
      <c r="I24" s="175"/>
      <c r="J24" s="175"/>
      <c r="K24" s="175"/>
      <c r="L24" s="176" t="s">
        <v>126</v>
      </c>
      <c r="M24" s="179"/>
      <c r="N24" s="174"/>
      <c r="O24" s="175"/>
      <c r="P24" s="175"/>
      <c r="Q24" s="178"/>
    </row>
    <row r="25" spans="1:17" s="21" customFormat="1" ht="33" x14ac:dyDescent="0.25">
      <c r="A25" s="116">
        <v>11</v>
      </c>
      <c r="C25" s="172" t="s">
        <v>130</v>
      </c>
      <c r="D25" s="173"/>
      <c r="E25" s="174"/>
      <c r="F25" s="175"/>
      <c r="G25" s="175"/>
      <c r="H25" s="175"/>
      <c r="I25" s="175"/>
      <c r="J25" s="175"/>
      <c r="K25" s="175"/>
      <c r="L25" s="180"/>
      <c r="M25" s="179"/>
      <c r="N25" s="174"/>
      <c r="O25" s="175"/>
      <c r="P25" s="175"/>
      <c r="Q25" s="178"/>
    </row>
    <row r="26" spans="1:17" s="21" customFormat="1" ht="33" x14ac:dyDescent="0.25">
      <c r="A26" s="116">
        <v>11</v>
      </c>
      <c r="C26" s="172" t="s">
        <v>131</v>
      </c>
      <c r="D26" s="173"/>
      <c r="E26" s="174"/>
      <c r="F26" s="175"/>
      <c r="G26" s="175"/>
      <c r="H26" s="175"/>
      <c r="I26" s="175"/>
      <c r="J26" s="175"/>
      <c r="K26" s="175"/>
      <c r="L26" s="176" t="s">
        <v>126</v>
      </c>
      <c r="M26" s="179"/>
      <c r="N26" s="174"/>
      <c r="O26" s="175"/>
      <c r="P26" s="175"/>
      <c r="Q26" s="178"/>
    </row>
    <row r="27" spans="1:17" s="21" customFormat="1" ht="33" x14ac:dyDescent="0.25">
      <c r="A27" s="116">
        <v>11</v>
      </c>
      <c r="C27" s="172" t="s">
        <v>132</v>
      </c>
      <c r="D27" s="173"/>
      <c r="E27" s="174"/>
      <c r="F27" s="175"/>
      <c r="G27" s="175"/>
      <c r="H27" s="175"/>
      <c r="I27" s="175"/>
      <c r="J27" s="175"/>
      <c r="K27" s="175"/>
      <c r="L27" s="176" t="s">
        <v>126</v>
      </c>
      <c r="M27" s="179"/>
      <c r="N27" s="174"/>
      <c r="O27" s="175"/>
      <c r="P27" s="175"/>
      <c r="Q27" s="178"/>
    </row>
    <row r="28" spans="1:17" s="21" customFormat="1" ht="64.5" x14ac:dyDescent="0.25">
      <c r="A28" s="116">
        <v>1111</v>
      </c>
      <c r="C28" s="172" t="s">
        <v>133</v>
      </c>
      <c r="D28" s="173"/>
      <c r="E28" s="174"/>
      <c r="F28" s="175"/>
      <c r="G28" s="175"/>
      <c r="H28" s="175"/>
      <c r="I28" s="175"/>
      <c r="J28" s="175"/>
      <c r="K28" s="175"/>
      <c r="L28" s="176" t="s">
        <v>126</v>
      </c>
      <c r="M28" s="179"/>
      <c r="N28" s="174"/>
      <c r="O28" s="175"/>
      <c r="P28" s="175"/>
      <c r="Q28" s="178"/>
    </row>
    <row r="29" spans="1:17" s="21" customFormat="1" ht="33" x14ac:dyDescent="0.25">
      <c r="A29" s="116">
        <v>11</v>
      </c>
      <c r="C29" s="172" t="s">
        <v>134</v>
      </c>
      <c r="D29" s="173"/>
      <c r="E29" s="174"/>
      <c r="F29" s="175"/>
      <c r="G29" s="175"/>
      <c r="H29" s="175"/>
      <c r="I29" s="175"/>
      <c r="J29" s="175"/>
      <c r="K29" s="175"/>
      <c r="L29" s="176" t="s">
        <v>126</v>
      </c>
      <c r="M29" s="179"/>
      <c r="N29" s="174"/>
      <c r="O29" s="175"/>
      <c r="P29" s="175"/>
      <c r="Q29" s="178"/>
    </row>
    <row r="30" spans="1:17" s="21" customFormat="1" ht="33" x14ac:dyDescent="0.25">
      <c r="A30" s="116">
        <v>11</v>
      </c>
      <c r="C30" s="172" t="s">
        <v>135</v>
      </c>
      <c r="D30" s="173"/>
      <c r="E30" s="174"/>
      <c r="F30" s="175"/>
      <c r="G30" s="175"/>
      <c r="H30" s="175"/>
      <c r="I30" s="175"/>
      <c r="J30" s="175"/>
      <c r="K30" s="175"/>
      <c r="L30" s="176" t="s">
        <v>126</v>
      </c>
      <c r="M30" s="179"/>
      <c r="N30" s="174"/>
      <c r="O30" s="175"/>
      <c r="P30" s="175"/>
      <c r="Q30" s="178"/>
    </row>
    <row r="31" spans="1:17" s="21" customFormat="1" ht="15.75" x14ac:dyDescent="0.25">
      <c r="A31" s="116"/>
      <c r="C31" s="172" t="s">
        <v>136</v>
      </c>
      <c r="D31" s="173"/>
      <c r="E31" s="174"/>
      <c r="F31" s="175"/>
      <c r="G31" s="175"/>
      <c r="H31" s="175"/>
      <c r="I31" s="175"/>
      <c r="J31" s="175"/>
      <c r="K31" s="175"/>
      <c r="L31" s="180"/>
      <c r="M31" s="179"/>
      <c r="N31" s="174"/>
      <c r="O31" s="175"/>
      <c r="P31" s="175"/>
      <c r="Q31" s="178"/>
    </row>
    <row r="32" spans="1:17" s="21" customFormat="1" ht="64.5" x14ac:dyDescent="0.25">
      <c r="A32" s="116">
        <v>1111</v>
      </c>
      <c r="C32" s="172" t="s">
        <v>137</v>
      </c>
      <c r="D32" s="173"/>
      <c r="E32" s="174"/>
      <c r="F32" s="175"/>
      <c r="G32" s="175"/>
      <c r="H32" s="175"/>
      <c r="I32" s="175"/>
      <c r="J32" s="175"/>
      <c r="K32" s="175"/>
      <c r="L32" s="176" t="s">
        <v>126</v>
      </c>
      <c r="M32" s="179"/>
      <c r="N32" s="174"/>
      <c r="O32" s="175"/>
      <c r="P32" s="175"/>
      <c r="Q32" s="178"/>
    </row>
    <row r="33" spans="1:17" s="21" customFormat="1" ht="48.75" x14ac:dyDescent="0.25">
      <c r="A33" s="116">
        <v>111</v>
      </c>
      <c r="C33" s="172" t="s">
        <v>138</v>
      </c>
      <c r="D33" s="173"/>
      <c r="E33" s="174"/>
      <c r="F33" s="175"/>
      <c r="G33" s="175"/>
      <c r="H33" s="175"/>
      <c r="I33" s="175"/>
      <c r="J33" s="175"/>
      <c r="K33" s="175"/>
      <c r="L33" s="176" t="s">
        <v>126</v>
      </c>
      <c r="M33" s="179"/>
      <c r="N33" s="174"/>
      <c r="O33" s="175"/>
      <c r="P33" s="175"/>
      <c r="Q33" s="178"/>
    </row>
    <row r="34" spans="1:17" s="21" customFormat="1" ht="33" x14ac:dyDescent="0.25">
      <c r="A34" s="116">
        <v>11</v>
      </c>
      <c r="C34" s="181" t="s">
        <v>139</v>
      </c>
      <c r="D34" s="182"/>
      <c r="E34" s="174"/>
      <c r="F34" s="175"/>
      <c r="G34" s="175"/>
      <c r="H34" s="175"/>
      <c r="I34" s="175"/>
      <c r="J34" s="175"/>
      <c r="K34" s="175"/>
      <c r="L34" s="176" t="s">
        <v>126</v>
      </c>
      <c r="M34" s="179"/>
      <c r="N34" s="174"/>
      <c r="O34" s="175"/>
      <c r="P34" s="175"/>
      <c r="Q34" s="178"/>
    </row>
    <row r="35" spans="1:17" s="21" customFormat="1" ht="48.75" x14ac:dyDescent="0.25">
      <c r="A35" s="116">
        <v>111</v>
      </c>
      <c r="C35" s="172" t="s">
        <v>140</v>
      </c>
      <c r="D35" s="173"/>
      <c r="E35" s="174"/>
      <c r="F35" s="175"/>
      <c r="G35" s="175"/>
      <c r="H35" s="175"/>
      <c r="I35" s="175"/>
      <c r="J35" s="175"/>
      <c r="K35" s="175"/>
      <c r="L35" s="176" t="s">
        <v>126</v>
      </c>
      <c r="M35" s="179"/>
      <c r="N35" s="174"/>
      <c r="O35" s="175"/>
      <c r="P35" s="175"/>
      <c r="Q35" s="178"/>
    </row>
    <row r="36" spans="1:17" s="21" customFormat="1" ht="33" x14ac:dyDescent="0.25">
      <c r="A36" s="116">
        <v>11</v>
      </c>
      <c r="C36" s="172" t="s">
        <v>141</v>
      </c>
      <c r="D36" s="173"/>
      <c r="E36" s="174"/>
      <c r="F36" s="175"/>
      <c r="G36" s="175"/>
      <c r="H36" s="175"/>
      <c r="I36" s="175"/>
      <c r="J36" s="175"/>
      <c r="K36" s="175"/>
      <c r="L36" s="176" t="s">
        <v>126</v>
      </c>
      <c r="M36" s="179"/>
      <c r="N36" s="174"/>
      <c r="O36" s="175"/>
      <c r="P36" s="175"/>
      <c r="Q36" s="178"/>
    </row>
    <row r="37" spans="1:17" s="21" customFormat="1" ht="33" x14ac:dyDescent="0.25">
      <c r="A37" s="116">
        <v>11</v>
      </c>
      <c r="C37" s="172" t="s">
        <v>142</v>
      </c>
      <c r="D37" s="173"/>
      <c r="E37" s="174"/>
      <c r="F37" s="175"/>
      <c r="G37" s="175"/>
      <c r="H37" s="175"/>
      <c r="I37" s="175"/>
      <c r="J37" s="175"/>
      <c r="K37" s="175"/>
      <c r="L37" s="176" t="s">
        <v>126</v>
      </c>
      <c r="M37" s="179"/>
      <c r="N37" s="174"/>
      <c r="O37" s="175"/>
      <c r="P37" s="175"/>
      <c r="Q37" s="178"/>
    </row>
    <row r="38" spans="1:17" s="21" customFormat="1" ht="33" x14ac:dyDescent="0.25">
      <c r="A38" s="116">
        <v>11</v>
      </c>
      <c r="C38" s="172" t="s">
        <v>143</v>
      </c>
      <c r="D38" s="173"/>
      <c r="E38" s="174"/>
      <c r="F38" s="175"/>
      <c r="G38" s="175"/>
      <c r="H38" s="175"/>
      <c r="I38" s="175"/>
      <c r="J38" s="175"/>
      <c r="K38" s="175"/>
      <c r="L38" s="176" t="s">
        <v>126</v>
      </c>
      <c r="M38" s="179"/>
      <c r="N38" s="174"/>
      <c r="O38" s="175"/>
      <c r="P38" s="175"/>
      <c r="Q38" s="178"/>
    </row>
    <row r="39" spans="1:17" s="21" customFormat="1" ht="17.25" x14ac:dyDescent="0.25">
      <c r="A39" s="116">
        <v>1</v>
      </c>
      <c r="C39" s="181" t="s">
        <v>144</v>
      </c>
      <c r="D39" s="182"/>
      <c r="E39" s="174"/>
      <c r="F39" s="175"/>
      <c r="G39" s="175"/>
      <c r="H39" s="175"/>
      <c r="I39" s="175"/>
      <c r="J39" s="175"/>
      <c r="K39" s="175"/>
      <c r="L39" s="176" t="s">
        <v>126</v>
      </c>
      <c r="M39" s="179"/>
      <c r="N39" s="174"/>
      <c r="O39" s="175"/>
      <c r="P39" s="175"/>
      <c r="Q39" s="178"/>
    </row>
    <row r="40" spans="1:17" s="21" customFormat="1" ht="17.25" x14ac:dyDescent="0.25">
      <c r="A40" s="116">
        <v>1</v>
      </c>
      <c r="C40" s="172" t="s">
        <v>145</v>
      </c>
      <c r="D40" s="173"/>
      <c r="E40" s="174"/>
      <c r="F40" s="175"/>
      <c r="G40" s="175"/>
      <c r="H40" s="175"/>
      <c r="I40" s="175"/>
      <c r="J40" s="175"/>
      <c r="K40" s="175"/>
      <c r="L40" s="176" t="s">
        <v>126</v>
      </c>
      <c r="M40" s="179"/>
      <c r="N40" s="174"/>
      <c r="O40" s="175"/>
      <c r="P40" s="175"/>
      <c r="Q40" s="178"/>
    </row>
    <row r="41" spans="1:17" s="21" customFormat="1" ht="17.25" x14ac:dyDescent="0.25">
      <c r="A41" s="116">
        <v>1</v>
      </c>
      <c r="C41" s="172" t="s">
        <v>146</v>
      </c>
      <c r="D41" s="173"/>
      <c r="E41" s="174"/>
      <c r="F41" s="175"/>
      <c r="G41" s="175"/>
      <c r="H41" s="175"/>
      <c r="I41" s="175"/>
      <c r="J41" s="175"/>
      <c r="K41" s="175"/>
      <c r="L41" s="176" t="s">
        <v>126</v>
      </c>
      <c r="M41" s="179"/>
      <c r="N41" s="174"/>
      <c r="O41" s="175"/>
      <c r="P41" s="175"/>
      <c r="Q41" s="178"/>
    </row>
    <row r="42" spans="1:17" s="21" customFormat="1" ht="33" x14ac:dyDescent="0.25">
      <c r="A42" s="116">
        <v>11</v>
      </c>
      <c r="C42" s="172" t="s">
        <v>147</v>
      </c>
      <c r="D42" s="173"/>
      <c r="E42" s="174"/>
      <c r="F42" s="175"/>
      <c r="G42" s="175"/>
      <c r="H42" s="175"/>
      <c r="I42" s="175"/>
      <c r="J42" s="175"/>
      <c r="K42" s="175"/>
      <c r="L42" s="176" t="s">
        <v>126</v>
      </c>
      <c r="M42" s="179"/>
      <c r="N42" s="174"/>
      <c r="O42" s="175"/>
      <c r="P42" s="175"/>
      <c r="Q42" s="178"/>
    </row>
    <row r="43" spans="1:17" s="21" customFormat="1" ht="33" x14ac:dyDescent="0.25">
      <c r="A43" s="116">
        <v>11</v>
      </c>
      <c r="C43" s="172" t="s">
        <v>148</v>
      </c>
      <c r="D43" s="173"/>
      <c r="E43" s="174"/>
      <c r="F43" s="175"/>
      <c r="G43" s="175"/>
      <c r="H43" s="175"/>
      <c r="I43" s="175"/>
      <c r="J43" s="175"/>
      <c r="K43" s="175"/>
      <c r="L43" s="176" t="s">
        <v>126</v>
      </c>
      <c r="M43" s="179"/>
      <c r="N43" s="174"/>
      <c r="O43" s="175"/>
      <c r="P43" s="175"/>
      <c r="Q43" s="178"/>
    </row>
    <row r="44" spans="1:17" s="21" customFormat="1" ht="33" x14ac:dyDescent="0.25">
      <c r="A44" s="116">
        <v>11</v>
      </c>
      <c r="C44" s="172" t="s">
        <v>149</v>
      </c>
      <c r="D44" s="173"/>
      <c r="E44" s="174"/>
      <c r="F44" s="175"/>
      <c r="G44" s="175"/>
      <c r="H44" s="175"/>
      <c r="I44" s="175"/>
      <c r="J44" s="175"/>
      <c r="K44" s="175"/>
      <c r="L44" s="176" t="s">
        <v>126</v>
      </c>
      <c r="M44" s="179"/>
      <c r="N44" s="174"/>
      <c r="O44" s="175"/>
      <c r="P44" s="175"/>
      <c r="Q44" s="178"/>
    </row>
    <row r="45" spans="1:17" s="21" customFormat="1" ht="33" x14ac:dyDescent="0.25">
      <c r="A45" s="116">
        <v>11</v>
      </c>
      <c r="C45" s="172" t="s">
        <v>150</v>
      </c>
      <c r="D45" s="173"/>
      <c r="E45" s="174"/>
      <c r="F45" s="175"/>
      <c r="G45" s="175"/>
      <c r="H45" s="175"/>
      <c r="I45" s="175"/>
      <c r="J45" s="175"/>
      <c r="K45" s="175"/>
      <c r="L45" s="176" t="s">
        <v>126</v>
      </c>
      <c r="M45" s="179"/>
      <c r="N45" s="174"/>
      <c r="O45" s="175"/>
      <c r="P45" s="175"/>
      <c r="Q45" s="178"/>
    </row>
    <row r="46" spans="1:17" s="21" customFormat="1" ht="17.25" x14ac:dyDescent="0.25">
      <c r="A46" s="116">
        <v>1</v>
      </c>
      <c r="C46" s="172" t="s">
        <v>151</v>
      </c>
      <c r="D46" s="173"/>
      <c r="E46" s="174"/>
      <c r="F46" s="175"/>
      <c r="G46" s="175"/>
      <c r="H46" s="175"/>
      <c r="I46" s="175"/>
      <c r="J46" s="175"/>
      <c r="K46" s="175"/>
      <c r="L46" s="176" t="s">
        <v>126</v>
      </c>
      <c r="M46" s="179"/>
      <c r="N46" s="174"/>
      <c r="O46" s="175"/>
      <c r="P46" s="175"/>
      <c r="Q46" s="178"/>
    </row>
    <row r="47" spans="1:17" s="21" customFormat="1" ht="48.75" x14ac:dyDescent="0.25">
      <c r="A47" s="116">
        <v>111</v>
      </c>
      <c r="C47" s="172" t="s">
        <v>152</v>
      </c>
      <c r="D47" s="173"/>
      <c r="E47" s="174"/>
      <c r="F47" s="175"/>
      <c r="G47" s="175"/>
      <c r="H47" s="175"/>
      <c r="I47" s="175"/>
      <c r="J47" s="175"/>
      <c r="K47" s="175"/>
      <c r="L47" s="176" t="s">
        <v>126</v>
      </c>
      <c r="M47" s="179"/>
      <c r="N47" s="174"/>
      <c r="O47" s="175"/>
      <c r="P47" s="175"/>
      <c r="Q47" s="178"/>
    </row>
    <row r="48" spans="1:17" s="121" customFormat="1" ht="17.25" x14ac:dyDescent="0.25">
      <c r="A48" s="183">
        <v>1</v>
      </c>
      <c r="C48" s="172" t="s">
        <v>153</v>
      </c>
      <c r="D48" s="173"/>
      <c r="E48" s="184"/>
      <c r="F48" s="185"/>
      <c r="G48" s="185"/>
      <c r="H48" s="185"/>
      <c r="I48" s="185"/>
      <c r="J48" s="185"/>
      <c r="K48" s="185"/>
      <c r="L48" s="176" t="s">
        <v>126</v>
      </c>
      <c r="M48" s="186"/>
      <c r="N48" s="184"/>
      <c r="O48" s="185"/>
      <c r="P48" s="185"/>
      <c r="Q48" s="187"/>
    </row>
    <row r="49" spans="1:18" s="21" customFormat="1" ht="17.25" x14ac:dyDescent="0.25">
      <c r="A49" s="116">
        <v>1</v>
      </c>
      <c r="C49" s="181" t="s">
        <v>154</v>
      </c>
      <c r="D49" s="182"/>
      <c r="E49" s="174"/>
      <c r="F49" s="175"/>
      <c r="G49" s="175"/>
      <c r="H49" s="175"/>
      <c r="I49" s="175"/>
      <c r="J49" s="175"/>
      <c r="K49" s="175"/>
      <c r="L49" s="176" t="s">
        <v>126</v>
      </c>
      <c r="M49" s="179"/>
      <c r="N49" s="174"/>
      <c r="O49" s="175"/>
      <c r="P49" s="175"/>
      <c r="Q49" s="178"/>
    </row>
    <row r="50" spans="1:18" s="21" customFormat="1" ht="33" x14ac:dyDescent="0.25">
      <c r="A50" s="116">
        <v>11</v>
      </c>
      <c r="C50" s="172" t="s">
        <v>155</v>
      </c>
      <c r="D50" s="173"/>
      <c r="E50" s="174"/>
      <c r="F50" s="175"/>
      <c r="G50" s="175"/>
      <c r="H50" s="175"/>
      <c r="I50" s="175"/>
      <c r="J50" s="175"/>
      <c r="K50" s="175"/>
      <c r="L50" s="176" t="s">
        <v>126</v>
      </c>
      <c r="M50" s="179"/>
      <c r="N50" s="174"/>
      <c r="O50" s="175"/>
      <c r="P50" s="175"/>
      <c r="Q50" s="178"/>
    </row>
    <row r="51" spans="1:18" s="21" customFormat="1" ht="17.25" x14ac:dyDescent="0.25">
      <c r="A51" s="116">
        <v>1</v>
      </c>
      <c r="C51" s="172" t="s">
        <v>156</v>
      </c>
      <c r="D51" s="173"/>
      <c r="E51" s="174"/>
      <c r="F51" s="175"/>
      <c r="G51" s="175"/>
      <c r="H51" s="175"/>
      <c r="I51" s="175"/>
      <c r="J51" s="175"/>
      <c r="K51" s="175"/>
      <c r="L51" s="176" t="s">
        <v>126</v>
      </c>
      <c r="M51" s="179"/>
      <c r="N51" s="174"/>
      <c r="O51" s="175"/>
      <c r="P51" s="175"/>
      <c r="Q51" s="178"/>
    </row>
    <row r="52" spans="1:18" s="21" customFormat="1" ht="15.75" x14ac:dyDescent="0.25">
      <c r="A52" s="116"/>
      <c r="C52" s="188" t="s">
        <v>157</v>
      </c>
      <c r="D52" s="189"/>
      <c r="E52" s="174"/>
      <c r="F52" s="175"/>
      <c r="G52" s="175"/>
      <c r="H52" s="175"/>
      <c r="I52" s="175"/>
      <c r="J52" s="175"/>
      <c r="K52" s="175"/>
      <c r="L52" s="176" t="s">
        <v>126</v>
      </c>
      <c r="M52" s="179"/>
      <c r="N52" s="174"/>
      <c r="O52" s="175"/>
      <c r="P52" s="175"/>
      <c r="Q52" s="178"/>
    </row>
    <row r="53" spans="1:18" s="21" customFormat="1" ht="15.75" x14ac:dyDescent="0.25">
      <c r="A53" s="116"/>
      <c r="C53" s="172" t="s">
        <v>158</v>
      </c>
      <c r="D53" s="173"/>
      <c r="E53" s="174"/>
      <c r="F53" s="175"/>
      <c r="G53" s="175"/>
      <c r="H53" s="175"/>
      <c r="I53" s="175"/>
      <c r="J53" s="175"/>
      <c r="K53" s="175"/>
      <c r="L53" s="176" t="s">
        <v>126</v>
      </c>
      <c r="M53" s="179"/>
      <c r="N53" s="174"/>
      <c r="O53" s="175"/>
      <c r="P53" s="175"/>
      <c r="Q53" s="178"/>
    </row>
    <row r="54" spans="1:18" s="21" customFormat="1" ht="15.75" x14ac:dyDescent="0.25">
      <c r="A54" s="116"/>
      <c r="C54" s="172" t="s">
        <v>159</v>
      </c>
      <c r="D54" s="173"/>
      <c r="E54" s="174"/>
      <c r="F54" s="175"/>
      <c r="G54" s="175"/>
      <c r="H54" s="175"/>
      <c r="I54" s="175"/>
      <c r="J54" s="175"/>
      <c r="K54" s="175"/>
      <c r="L54" s="176" t="s">
        <v>126</v>
      </c>
      <c r="M54" s="179"/>
      <c r="N54" s="174"/>
      <c r="O54" s="175"/>
      <c r="P54" s="175"/>
      <c r="Q54" s="178"/>
    </row>
    <row r="55" spans="1:18" s="21" customFormat="1" ht="15.75" x14ac:dyDescent="0.25">
      <c r="A55" s="116"/>
      <c r="C55" s="190" t="s">
        <v>160</v>
      </c>
      <c r="D55" s="191"/>
      <c r="E55" s="174"/>
      <c r="F55" s="175"/>
      <c r="G55" s="175"/>
      <c r="H55" s="175"/>
      <c r="I55" s="175"/>
      <c r="J55" s="175"/>
      <c r="K55" s="175"/>
      <c r="L55" s="176" t="s">
        <v>126</v>
      </c>
      <c r="M55" s="179"/>
      <c r="N55" s="174"/>
      <c r="O55" s="175"/>
      <c r="P55" s="175"/>
      <c r="Q55" s="178"/>
    </row>
    <row r="56" spans="1:18" s="21" customFormat="1" ht="15.75" x14ac:dyDescent="0.25">
      <c r="A56" s="116"/>
      <c r="C56" s="172" t="s">
        <v>161</v>
      </c>
      <c r="D56" s="173"/>
      <c r="E56" s="174"/>
      <c r="F56" s="175"/>
      <c r="G56" s="175"/>
      <c r="H56" s="175"/>
      <c r="I56" s="175"/>
      <c r="J56" s="175"/>
      <c r="K56" s="175"/>
      <c r="L56" s="176" t="s">
        <v>126</v>
      </c>
      <c r="M56" s="179"/>
      <c r="N56" s="174"/>
      <c r="O56" s="175"/>
      <c r="P56" s="175"/>
      <c r="Q56" s="178"/>
    </row>
    <row r="57" spans="1:18" s="21" customFormat="1" ht="33" x14ac:dyDescent="0.25">
      <c r="A57" s="116">
        <v>11</v>
      </c>
      <c r="C57" s="172" t="s">
        <v>162</v>
      </c>
      <c r="D57" s="173"/>
      <c r="E57" s="174"/>
      <c r="F57" s="175"/>
      <c r="G57" s="175"/>
      <c r="H57" s="175"/>
      <c r="I57" s="175"/>
      <c r="J57" s="175"/>
      <c r="K57" s="175"/>
      <c r="L57" s="176" t="s">
        <v>126</v>
      </c>
      <c r="M57" s="179"/>
      <c r="N57" s="174"/>
      <c r="O57" s="175"/>
      <c r="P57" s="175"/>
      <c r="Q57" s="178"/>
    </row>
    <row r="58" spans="1:18" s="21" customFormat="1" ht="15.75" x14ac:dyDescent="0.25">
      <c r="A58" s="116"/>
      <c r="C58" s="172" t="s">
        <v>163</v>
      </c>
      <c r="D58" s="173"/>
      <c r="E58" s="174"/>
      <c r="F58" s="175"/>
      <c r="G58" s="175"/>
      <c r="H58" s="175"/>
      <c r="I58" s="175"/>
      <c r="J58" s="175"/>
      <c r="K58" s="175"/>
      <c r="L58" s="176" t="s">
        <v>126</v>
      </c>
      <c r="M58" s="179"/>
      <c r="N58" s="174"/>
      <c r="O58" s="175"/>
      <c r="P58" s="175"/>
      <c r="Q58" s="178"/>
    </row>
    <row r="59" spans="1:18" s="21" customFormat="1" ht="15.75" x14ac:dyDescent="0.25">
      <c r="A59" s="116"/>
      <c r="C59" s="172" t="s">
        <v>164</v>
      </c>
      <c r="D59" s="173"/>
      <c r="E59" s="174"/>
      <c r="F59" s="175"/>
      <c r="G59" s="175"/>
      <c r="H59" s="175"/>
      <c r="I59" s="175"/>
      <c r="J59" s="175"/>
      <c r="K59" s="175"/>
      <c r="L59" s="176" t="s">
        <v>126</v>
      </c>
      <c r="M59" s="179"/>
      <c r="N59" s="174"/>
      <c r="O59" s="175"/>
      <c r="P59" s="175"/>
      <c r="Q59" s="178"/>
    </row>
    <row r="60" spans="1:18" s="21" customFormat="1" ht="33" x14ac:dyDescent="0.25">
      <c r="A60" s="116">
        <v>11</v>
      </c>
      <c r="C60" s="172" t="s">
        <v>165</v>
      </c>
      <c r="D60" s="173"/>
      <c r="E60" s="174"/>
      <c r="F60" s="175"/>
      <c r="G60" s="175"/>
      <c r="H60" s="175"/>
      <c r="I60" s="175"/>
      <c r="J60" s="175"/>
      <c r="K60" s="175"/>
      <c r="L60" s="176" t="s">
        <v>126</v>
      </c>
      <c r="M60" s="179"/>
      <c r="N60" s="174"/>
      <c r="O60" s="175"/>
      <c r="P60" s="175"/>
      <c r="Q60" s="178"/>
    </row>
    <row r="61" spans="1:18" s="21" customFormat="1" ht="48.75" x14ac:dyDescent="0.25">
      <c r="A61" s="116">
        <v>111</v>
      </c>
      <c r="C61" s="172" t="s">
        <v>166</v>
      </c>
      <c r="D61" s="173"/>
      <c r="E61" s="174"/>
      <c r="F61" s="175"/>
      <c r="G61" s="175"/>
      <c r="H61" s="175"/>
      <c r="I61" s="175"/>
      <c r="J61" s="175"/>
      <c r="K61" s="175"/>
      <c r="L61" s="176" t="s">
        <v>126</v>
      </c>
      <c r="M61" s="179"/>
      <c r="N61" s="174"/>
      <c r="O61" s="175"/>
      <c r="P61" s="175"/>
      <c r="Q61" s="178"/>
    </row>
    <row r="62" spans="1:18" s="21" customFormat="1" ht="15.75" x14ac:dyDescent="0.25">
      <c r="A62" s="116"/>
      <c r="C62" s="172" t="s">
        <v>167</v>
      </c>
      <c r="D62" s="173"/>
      <c r="E62" s="174"/>
      <c r="F62" s="175"/>
      <c r="G62" s="175"/>
      <c r="H62" s="175"/>
      <c r="I62" s="175"/>
      <c r="J62" s="175"/>
      <c r="K62" s="175"/>
      <c r="L62" s="176" t="s">
        <v>126</v>
      </c>
      <c r="M62" s="179"/>
      <c r="N62" s="174"/>
      <c r="O62" s="175"/>
      <c r="P62" s="175"/>
      <c r="Q62" s="178"/>
    </row>
    <row r="63" spans="1:18" s="21" customFormat="1" ht="33" x14ac:dyDescent="0.25">
      <c r="A63" s="116">
        <v>11</v>
      </c>
      <c r="C63" s="172" t="s">
        <v>168</v>
      </c>
      <c r="D63" s="173"/>
      <c r="E63" s="174"/>
      <c r="F63" s="175"/>
      <c r="G63" s="175"/>
      <c r="H63" s="175"/>
      <c r="I63" s="175"/>
      <c r="J63" s="175"/>
      <c r="K63" s="175"/>
      <c r="L63" s="176" t="s">
        <v>126</v>
      </c>
      <c r="M63" s="179"/>
      <c r="N63" s="174"/>
      <c r="O63" s="175"/>
      <c r="P63" s="175"/>
      <c r="Q63" s="178"/>
    </row>
    <row r="64" spans="1:18" s="21" customFormat="1" ht="33" x14ac:dyDescent="0.25">
      <c r="A64" s="116">
        <v>11</v>
      </c>
      <c r="C64" s="172" t="s">
        <v>169</v>
      </c>
      <c r="D64" s="173"/>
      <c r="E64" s="174"/>
      <c r="F64" s="175"/>
      <c r="G64" s="175"/>
      <c r="H64" s="175"/>
      <c r="I64" s="175"/>
      <c r="J64" s="175"/>
      <c r="K64" s="175"/>
      <c r="L64" s="176"/>
      <c r="M64" s="179"/>
      <c r="N64" s="174"/>
      <c r="O64" s="175"/>
      <c r="P64" s="175"/>
      <c r="Q64" s="178"/>
      <c r="R64"/>
    </row>
    <row r="65" spans="1:18" s="21" customFormat="1" ht="33" x14ac:dyDescent="0.25">
      <c r="A65" s="116">
        <v>11</v>
      </c>
      <c r="C65" s="172" t="s">
        <v>170</v>
      </c>
      <c r="D65" s="173"/>
      <c r="E65" s="174"/>
      <c r="F65" s="175"/>
      <c r="G65" s="175"/>
      <c r="H65" s="175"/>
      <c r="I65" s="175"/>
      <c r="J65" s="175"/>
      <c r="K65" s="175"/>
      <c r="L65" s="176"/>
      <c r="M65" s="179"/>
      <c r="N65" s="174"/>
      <c r="O65" s="175"/>
      <c r="P65" s="175"/>
      <c r="Q65" s="178"/>
      <c r="R65"/>
    </row>
    <row r="66" spans="1:18" s="21" customFormat="1" ht="64.5" x14ac:dyDescent="0.25">
      <c r="A66" s="116">
        <v>1111</v>
      </c>
      <c r="C66" s="172" t="s">
        <v>171</v>
      </c>
      <c r="D66" s="173"/>
      <c r="E66" s="174"/>
      <c r="F66" s="175"/>
      <c r="G66" s="175"/>
      <c r="H66" s="175"/>
      <c r="I66" s="175"/>
      <c r="J66" s="175"/>
      <c r="K66" s="175"/>
      <c r="L66" s="176"/>
      <c r="M66" s="179"/>
      <c r="N66" s="174"/>
      <c r="O66" s="175"/>
      <c r="P66" s="175"/>
      <c r="Q66" s="178"/>
      <c r="R66"/>
    </row>
    <row r="67" spans="1:18" s="21" customFormat="1" ht="17.25" x14ac:dyDescent="0.25">
      <c r="A67" s="116">
        <v>1</v>
      </c>
      <c r="C67" s="172" t="s">
        <v>172</v>
      </c>
      <c r="D67" s="173"/>
      <c r="E67" s="174"/>
      <c r="F67" s="175"/>
      <c r="G67" s="175"/>
      <c r="H67" s="175"/>
      <c r="I67" s="175"/>
      <c r="J67" s="175"/>
      <c r="K67" s="175"/>
      <c r="L67" s="176"/>
      <c r="M67" s="179"/>
      <c r="N67" s="174"/>
      <c r="O67" s="175"/>
      <c r="P67" s="175"/>
      <c r="Q67" s="178"/>
      <c r="R67"/>
    </row>
    <row r="68" spans="1:18" s="21" customFormat="1" ht="17.25" x14ac:dyDescent="0.25">
      <c r="A68" s="116">
        <v>1</v>
      </c>
      <c r="C68" s="172" t="s">
        <v>173</v>
      </c>
      <c r="D68" s="173"/>
      <c r="E68" s="174"/>
      <c r="F68" s="175"/>
      <c r="G68" s="175"/>
      <c r="H68" s="175"/>
      <c r="I68" s="175"/>
      <c r="J68" s="175"/>
      <c r="K68" s="175"/>
      <c r="L68" s="176"/>
      <c r="M68" s="179"/>
      <c r="N68" s="174"/>
      <c r="O68" s="175"/>
      <c r="P68" s="175"/>
      <c r="Q68" s="178"/>
      <c r="R68"/>
    </row>
    <row r="69" spans="1:18" s="21" customFormat="1" ht="49.5" thickBot="1" x14ac:dyDescent="0.3">
      <c r="A69" s="116">
        <v>111</v>
      </c>
      <c r="C69" s="192" t="s">
        <v>174</v>
      </c>
      <c r="D69" s="193"/>
      <c r="E69" s="194"/>
      <c r="F69" s="195"/>
      <c r="G69" s="195"/>
      <c r="H69" s="195"/>
      <c r="I69" s="195"/>
      <c r="J69" s="195"/>
      <c r="K69" s="195"/>
      <c r="L69" s="196"/>
      <c r="M69" s="197"/>
      <c r="N69" s="194"/>
      <c r="O69" s="195"/>
      <c r="P69" s="195"/>
      <c r="Q69" s="198"/>
      <c r="R69"/>
    </row>
    <row r="70" spans="1:18" s="21" customFormat="1" ht="16.5" thickBot="1" x14ac:dyDescent="0.3">
      <c r="A70" s="116"/>
      <c r="C70" s="199" t="s">
        <v>175</v>
      </c>
      <c r="D70" s="199"/>
      <c r="R70"/>
    </row>
    <row r="71" spans="1:18" s="21" customFormat="1" ht="49.5" thickBot="1" x14ac:dyDescent="0.3">
      <c r="A71" s="116">
        <v>111</v>
      </c>
      <c r="C71" s="200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2"/>
      <c r="R71"/>
    </row>
    <row r="72" spans="1:18" s="21" customFormat="1" ht="15.75" x14ac:dyDescent="0.25">
      <c r="A72" s="116"/>
      <c r="R72"/>
    </row>
    <row r="73" spans="1:18" s="21" customFormat="1" ht="15.75" x14ac:dyDescent="0.25">
      <c r="A73" s="116"/>
      <c r="R73"/>
    </row>
    <row r="74" spans="1:18" s="21" customFormat="1" ht="15.75" x14ac:dyDescent="0.25">
      <c r="A74" s="116"/>
      <c r="R74"/>
    </row>
    <row r="75" spans="1:18" s="21" customFormat="1" ht="15.75" x14ac:dyDescent="0.25">
      <c r="A75" s="116"/>
      <c r="R75"/>
    </row>
    <row r="76" spans="1:18" s="21" customFormat="1" ht="15.75" x14ac:dyDescent="0.25">
      <c r="A76" s="116"/>
      <c r="R76"/>
    </row>
  </sheetData>
  <mergeCells count="75">
    <mergeCell ref="C68:D68"/>
    <mergeCell ref="C69:D69"/>
    <mergeCell ref="C70:D70"/>
    <mergeCell ref="C71:Q71"/>
    <mergeCell ref="C62:D62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50:D50"/>
    <mergeCell ref="C51:D51"/>
    <mergeCell ref="C52:D52"/>
    <mergeCell ref="C53:D53"/>
    <mergeCell ref="C54:D54"/>
    <mergeCell ref="C55:D55"/>
    <mergeCell ref="C44:D44"/>
    <mergeCell ref="C45:D45"/>
    <mergeCell ref="C46:D46"/>
    <mergeCell ref="C47:D47"/>
    <mergeCell ref="C48:D48"/>
    <mergeCell ref="C49:D49"/>
    <mergeCell ref="C38:D38"/>
    <mergeCell ref="C39:D39"/>
    <mergeCell ref="C40:D40"/>
    <mergeCell ref="C41:D41"/>
    <mergeCell ref="C42:D42"/>
    <mergeCell ref="C43:D43"/>
    <mergeCell ref="C32:D32"/>
    <mergeCell ref="C33:D33"/>
    <mergeCell ref="C34:D34"/>
    <mergeCell ref="C35:D35"/>
    <mergeCell ref="C36:D36"/>
    <mergeCell ref="C37:D37"/>
    <mergeCell ref="C26:D26"/>
    <mergeCell ref="C27:D27"/>
    <mergeCell ref="C28:D28"/>
    <mergeCell ref="C29:D29"/>
    <mergeCell ref="C30:D30"/>
    <mergeCell ref="C31:D31"/>
    <mergeCell ref="C20:D20"/>
    <mergeCell ref="C21:D21"/>
    <mergeCell ref="C22:D22"/>
    <mergeCell ref="C23:D23"/>
    <mergeCell ref="C24:D24"/>
    <mergeCell ref="C25:D25"/>
    <mergeCell ref="B9:C10"/>
    <mergeCell ref="D9:Q9"/>
    <mergeCell ref="D10:Q10"/>
    <mergeCell ref="B12:D12"/>
    <mergeCell ref="C18:D19"/>
    <mergeCell ref="E18:K18"/>
    <mergeCell ref="L18:M19"/>
    <mergeCell ref="N18:P18"/>
    <mergeCell ref="Q18:Q19"/>
    <mergeCell ref="H6:K6"/>
    <mergeCell ref="N6:P6"/>
    <mergeCell ref="H7:K7"/>
    <mergeCell ref="L7:M7"/>
    <mergeCell ref="N7:P7"/>
    <mergeCell ref="H8:K8"/>
    <mergeCell ref="L8:M8"/>
    <mergeCell ref="N8:P8"/>
    <mergeCell ref="D1:P1"/>
    <mergeCell ref="D2:P2"/>
    <mergeCell ref="Q2:Q4"/>
    <mergeCell ref="P3:P4"/>
    <mergeCell ref="H5:K5"/>
    <mergeCell ref="N5:P5"/>
  </mergeCells>
  <conditionalFormatting sqref="C21:D63">
    <cfRule type="duplicateValues" dxfId="2" priority="1"/>
  </conditionalFormatting>
  <conditionalFormatting sqref="C21:D69">
    <cfRule type="duplicateValues" dxfId="1" priority="2"/>
    <cfRule type="duplicateValues" dxfId="0" priority="3"/>
  </conditionalFormatting>
  <dataValidations count="1">
    <dataValidation type="list" allowBlank="1" showInputMessage="1" showErrorMessage="1" sqref="Q21:Q68" xr:uid="{C218B5FB-82D6-423F-B857-49F99D3A5FF8}">
      <formula1>$I$13:$I$15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C2F0-F75C-44BF-A46B-01DD4AB4CD32}">
  <dimension ref="A1:S35"/>
  <sheetViews>
    <sheetView tabSelected="1" workbookViewId="0">
      <selection activeCell="B13" sqref="B13:B16"/>
    </sheetView>
  </sheetViews>
  <sheetFormatPr baseColWidth="10" defaultRowHeight="18.75" customHeight="1" x14ac:dyDescent="0.25"/>
  <cols>
    <col min="1" max="1" width="1.5703125" style="18" customWidth="1"/>
    <col min="2" max="2" width="28.5703125" style="59" customWidth="1"/>
    <col min="3" max="3" width="16.5703125" style="51" customWidth="1"/>
    <col min="4" max="4" width="82" style="60" customWidth="1"/>
    <col min="5" max="5" width="13.7109375" style="21" customWidth="1"/>
    <col min="6" max="6" width="16.42578125" style="21" customWidth="1"/>
    <col min="7" max="7" width="22.28515625" style="21" customWidth="1"/>
    <col min="8" max="8" width="21.28515625" style="21" customWidth="1"/>
    <col min="9" max="256" width="11.42578125" style="21"/>
    <col min="257" max="257" width="1.5703125" style="21" customWidth="1"/>
    <col min="258" max="258" width="28.5703125" style="21" customWidth="1"/>
    <col min="259" max="259" width="16.5703125" style="21" customWidth="1"/>
    <col min="260" max="260" width="82" style="21" customWidth="1"/>
    <col min="261" max="261" width="13.7109375" style="21" customWidth="1"/>
    <col min="262" max="262" width="16.42578125" style="21" customWidth="1"/>
    <col min="263" max="263" width="22.28515625" style="21" customWidth="1"/>
    <col min="264" max="264" width="21.28515625" style="21" customWidth="1"/>
    <col min="265" max="512" width="11.42578125" style="21"/>
    <col min="513" max="513" width="1.5703125" style="21" customWidth="1"/>
    <col min="514" max="514" width="28.5703125" style="21" customWidth="1"/>
    <col min="515" max="515" width="16.5703125" style="21" customWidth="1"/>
    <col min="516" max="516" width="82" style="21" customWidth="1"/>
    <col min="517" max="517" width="13.7109375" style="21" customWidth="1"/>
    <col min="518" max="518" width="16.42578125" style="21" customWidth="1"/>
    <col min="519" max="519" width="22.28515625" style="21" customWidth="1"/>
    <col min="520" max="520" width="21.28515625" style="21" customWidth="1"/>
    <col min="521" max="768" width="11.42578125" style="21"/>
    <col min="769" max="769" width="1.5703125" style="21" customWidth="1"/>
    <col min="770" max="770" width="28.5703125" style="21" customWidth="1"/>
    <col min="771" max="771" width="16.5703125" style="21" customWidth="1"/>
    <col min="772" max="772" width="82" style="21" customWidth="1"/>
    <col min="773" max="773" width="13.7109375" style="21" customWidth="1"/>
    <col min="774" max="774" width="16.42578125" style="21" customWidth="1"/>
    <col min="775" max="775" width="22.28515625" style="21" customWidth="1"/>
    <col min="776" max="776" width="21.28515625" style="21" customWidth="1"/>
    <col min="777" max="1024" width="11.42578125" style="21"/>
    <col min="1025" max="1025" width="1.5703125" style="21" customWidth="1"/>
    <col min="1026" max="1026" width="28.5703125" style="21" customWidth="1"/>
    <col min="1027" max="1027" width="16.5703125" style="21" customWidth="1"/>
    <col min="1028" max="1028" width="82" style="21" customWidth="1"/>
    <col min="1029" max="1029" width="13.7109375" style="21" customWidth="1"/>
    <col min="1030" max="1030" width="16.42578125" style="21" customWidth="1"/>
    <col min="1031" max="1031" width="22.28515625" style="21" customWidth="1"/>
    <col min="1032" max="1032" width="21.28515625" style="21" customWidth="1"/>
    <col min="1033" max="1280" width="11.42578125" style="21"/>
    <col min="1281" max="1281" width="1.5703125" style="21" customWidth="1"/>
    <col min="1282" max="1282" width="28.5703125" style="21" customWidth="1"/>
    <col min="1283" max="1283" width="16.5703125" style="21" customWidth="1"/>
    <col min="1284" max="1284" width="82" style="21" customWidth="1"/>
    <col min="1285" max="1285" width="13.7109375" style="21" customWidth="1"/>
    <col min="1286" max="1286" width="16.42578125" style="21" customWidth="1"/>
    <col min="1287" max="1287" width="22.28515625" style="21" customWidth="1"/>
    <col min="1288" max="1288" width="21.28515625" style="21" customWidth="1"/>
    <col min="1289" max="1536" width="11.42578125" style="21"/>
    <col min="1537" max="1537" width="1.5703125" style="21" customWidth="1"/>
    <col min="1538" max="1538" width="28.5703125" style="21" customWidth="1"/>
    <col min="1539" max="1539" width="16.5703125" style="21" customWidth="1"/>
    <col min="1540" max="1540" width="82" style="21" customWidth="1"/>
    <col min="1541" max="1541" width="13.7109375" style="21" customWidth="1"/>
    <col min="1542" max="1542" width="16.42578125" style="21" customWidth="1"/>
    <col min="1543" max="1543" width="22.28515625" style="21" customWidth="1"/>
    <col min="1544" max="1544" width="21.28515625" style="21" customWidth="1"/>
    <col min="1545" max="1792" width="11.42578125" style="21"/>
    <col min="1793" max="1793" width="1.5703125" style="21" customWidth="1"/>
    <col min="1794" max="1794" width="28.5703125" style="21" customWidth="1"/>
    <col min="1795" max="1795" width="16.5703125" style="21" customWidth="1"/>
    <col min="1796" max="1796" width="82" style="21" customWidth="1"/>
    <col min="1797" max="1797" width="13.7109375" style="21" customWidth="1"/>
    <col min="1798" max="1798" width="16.42578125" style="21" customWidth="1"/>
    <col min="1799" max="1799" width="22.28515625" style="21" customWidth="1"/>
    <col min="1800" max="1800" width="21.28515625" style="21" customWidth="1"/>
    <col min="1801" max="2048" width="11.42578125" style="21"/>
    <col min="2049" max="2049" width="1.5703125" style="21" customWidth="1"/>
    <col min="2050" max="2050" width="28.5703125" style="21" customWidth="1"/>
    <col min="2051" max="2051" width="16.5703125" style="21" customWidth="1"/>
    <col min="2052" max="2052" width="82" style="21" customWidth="1"/>
    <col min="2053" max="2053" width="13.7109375" style="21" customWidth="1"/>
    <col min="2054" max="2054" width="16.42578125" style="21" customWidth="1"/>
    <col min="2055" max="2055" width="22.28515625" style="21" customWidth="1"/>
    <col min="2056" max="2056" width="21.28515625" style="21" customWidth="1"/>
    <col min="2057" max="2304" width="11.42578125" style="21"/>
    <col min="2305" max="2305" width="1.5703125" style="21" customWidth="1"/>
    <col min="2306" max="2306" width="28.5703125" style="21" customWidth="1"/>
    <col min="2307" max="2307" width="16.5703125" style="21" customWidth="1"/>
    <col min="2308" max="2308" width="82" style="21" customWidth="1"/>
    <col min="2309" max="2309" width="13.7109375" style="21" customWidth="1"/>
    <col min="2310" max="2310" width="16.42578125" style="21" customWidth="1"/>
    <col min="2311" max="2311" width="22.28515625" style="21" customWidth="1"/>
    <col min="2312" max="2312" width="21.28515625" style="21" customWidth="1"/>
    <col min="2313" max="2560" width="11.42578125" style="21"/>
    <col min="2561" max="2561" width="1.5703125" style="21" customWidth="1"/>
    <col min="2562" max="2562" width="28.5703125" style="21" customWidth="1"/>
    <col min="2563" max="2563" width="16.5703125" style="21" customWidth="1"/>
    <col min="2564" max="2564" width="82" style="21" customWidth="1"/>
    <col min="2565" max="2565" width="13.7109375" style="21" customWidth="1"/>
    <col min="2566" max="2566" width="16.42578125" style="21" customWidth="1"/>
    <col min="2567" max="2567" width="22.28515625" style="21" customWidth="1"/>
    <col min="2568" max="2568" width="21.28515625" style="21" customWidth="1"/>
    <col min="2569" max="2816" width="11.42578125" style="21"/>
    <col min="2817" max="2817" width="1.5703125" style="21" customWidth="1"/>
    <col min="2818" max="2818" width="28.5703125" style="21" customWidth="1"/>
    <col min="2819" max="2819" width="16.5703125" style="21" customWidth="1"/>
    <col min="2820" max="2820" width="82" style="21" customWidth="1"/>
    <col min="2821" max="2821" width="13.7109375" style="21" customWidth="1"/>
    <col min="2822" max="2822" width="16.42578125" style="21" customWidth="1"/>
    <col min="2823" max="2823" width="22.28515625" style="21" customWidth="1"/>
    <col min="2824" max="2824" width="21.28515625" style="21" customWidth="1"/>
    <col min="2825" max="3072" width="11.42578125" style="21"/>
    <col min="3073" max="3073" width="1.5703125" style="21" customWidth="1"/>
    <col min="3074" max="3074" width="28.5703125" style="21" customWidth="1"/>
    <col min="3075" max="3075" width="16.5703125" style="21" customWidth="1"/>
    <col min="3076" max="3076" width="82" style="21" customWidth="1"/>
    <col min="3077" max="3077" width="13.7109375" style="21" customWidth="1"/>
    <col min="3078" max="3078" width="16.42578125" style="21" customWidth="1"/>
    <col min="3079" max="3079" width="22.28515625" style="21" customWidth="1"/>
    <col min="3080" max="3080" width="21.28515625" style="21" customWidth="1"/>
    <col min="3081" max="3328" width="11.42578125" style="21"/>
    <col min="3329" max="3329" width="1.5703125" style="21" customWidth="1"/>
    <col min="3330" max="3330" width="28.5703125" style="21" customWidth="1"/>
    <col min="3331" max="3331" width="16.5703125" style="21" customWidth="1"/>
    <col min="3332" max="3332" width="82" style="21" customWidth="1"/>
    <col min="3333" max="3333" width="13.7109375" style="21" customWidth="1"/>
    <col min="3334" max="3334" width="16.42578125" style="21" customWidth="1"/>
    <col min="3335" max="3335" width="22.28515625" style="21" customWidth="1"/>
    <col min="3336" max="3336" width="21.28515625" style="21" customWidth="1"/>
    <col min="3337" max="3584" width="11.42578125" style="21"/>
    <col min="3585" max="3585" width="1.5703125" style="21" customWidth="1"/>
    <col min="3586" max="3586" width="28.5703125" style="21" customWidth="1"/>
    <col min="3587" max="3587" width="16.5703125" style="21" customWidth="1"/>
    <col min="3588" max="3588" width="82" style="21" customWidth="1"/>
    <col min="3589" max="3589" width="13.7109375" style="21" customWidth="1"/>
    <col min="3590" max="3590" width="16.42578125" style="21" customWidth="1"/>
    <col min="3591" max="3591" width="22.28515625" style="21" customWidth="1"/>
    <col min="3592" max="3592" width="21.28515625" style="21" customWidth="1"/>
    <col min="3593" max="3840" width="11.42578125" style="21"/>
    <col min="3841" max="3841" width="1.5703125" style="21" customWidth="1"/>
    <col min="3842" max="3842" width="28.5703125" style="21" customWidth="1"/>
    <col min="3843" max="3843" width="16.5703125" style="21" customWidth="1"/>
    <col min="3844" max="3844" width="82" style="21" customWidth="1"/>
    <col min="3845" max="3845" width="13.7109375" style="21" customWidth="1"/>
    <col min="3846" max="3846" width="16.42578125" style="21" customWidth="1"/>
    <col min="3847" max="3847" width="22.28515625" style="21" customWidth="1"/>
    <col min="3848" max="3848" width="21.28515625" style="21" customWidth="1"/>
    <col min="3849" max="4096" width="11.42578125" style="21"/>
    <col min="4097" max="4097" width="1.5703125" style="21" customWidth="1"/>
    <col min="4098" max="4098" width="28.5703125" style="21" customWidth="1"/>
    <col min="4099" max="4099" width="16.5703125" style="21" customWidth="1"/>
    <col min="4100" max="4100" width="82" style="21" customWidth="1"/>
    <col min="4101" max="4101" width="13.7109375" style="21" customWidth="1"/>
    <col min="4102" max="4102" width="16.42578125" style="21" customWidth="1"/>
    <col min="4103" max="4103" width="22.28515625" style="21" customWidth="1"/>
    <col min="4104" max="4104" width="21.28515625" style="21" customWidth="1"/>
    <col min="4105" max="4352" width="11.42578125" style="21"/>
    <col min="4353" max="4353" width="1.5703125" style="21" customWidth="1"/>
    <col min="4354" max="4354" width="28.5703125" style="21" customWidth="1"/>
    <col min="4355" max="4355" width="16.5703125" style="21" customWidth="1"/>
    <col min="4356" max="4356" width="82" style="21" customWidth="1"/>
    <col min="4357" max="4357" width="13.7109375" style="21" customWidth="1"/>
    <col min="4358" max="4358" width="16.42578125" style="21" customWidth="1"/>
    <col min="4359" max="4359" width="22.28515625" style="21" customWidth="1"/>
    <col min="4360" max="4360" width="21.28515625" style="21" customWidth="1"/>
    <col min="4361" max="4608" width="11.42578125" style="21"/>
    <col min="4609" max="4609" width="1.5703125" style="21" customWidth="1"/>
    <col min="4610" max="4610" width="28.5703125" style="21" customWidth="1"/>
    <col min="4611" max="4611" width="16.5703125" style="21" customWidth="1"/>
    <col min="4612" max="4612" width="82" style="21" customWidth="1"/>
    <col min="4613" max="4613" width="13.7109375" style="21" customWidth="1"/>
    <col min="4614" max="4614" width="16.42578125" style="21" customWidth="1"/>
    <col min="4615" max="4615" width="22.28515625" style="21" customWidth="1"/>
    <col min="4616" max="4616" width="21.28515625" style="21" customWidth="1"/>
    <col min="4617" max="4864" width="11.42578125" style="21"/>
    <col min="4865" max="4865" width="1.5703125" style="21" customWidth="1"/>
    <col min="4866" max="4866" width="28.5703125" style="21" customWidth="1"/>
    <col min="4867" max="4867" width="16.5703125" style="21" customWidth="1"/>
    <col min="4868" max="4868" width="82" style="21" customWidth="1"/>
    <col min="4869" max="4869" width="13.7109375" style="21" customWidth="1"/>
    <col min="4870" max="4870" width="16.42578125" style="21" customWidth="1"/>
    <col min="4871" max="4871" width="22.28515625" style="21" customWidth="1"/>
    <col min="4872" max="4872" width="21.28515625" style="21" customWidth="1"/>
    <col min="4873" max="5120" width="11.42578125" style="21"/>
    <col min="5121" max="5121" width="1.5703125" style="21" customWidth="1"/>
    <col min="5122" max="5122" width="28.5703125" style="21" customWidth="1"/>
    <col min="5123" max="5123" width="16.5703125" style="21" customWidth="1"/>
    <col min="5124" max="5124" width="82" style="21" customWidth="1"/>
    <col min="5125" max="5125" width="13.7109375" style="21" customWidth="1"/>
    <col min="5126" max="5126" width="16.42578125" style="21" customWidth="1"/>
    <col min="5127" max="5127" width="22.28515625" style="21" customWidth="1"/>
    <col min="5128" max="5128" width="21.28515625" style="21" customWidth="1"/>
    <col min="5129" max="5376" width="11.42578125" style="21"/>
    <col min="5377" max="5377" width="1.5703125" style="21" customWidth="1"/>
    <col min="5378" max="5378" width="28.5703125" style="21" customWidth="1"/>
    <col min="5379" max="5379" width="16.5703125" style="21" customWidth="1"/>
    <col min="5380" max="5380" width="82" style="21" customWidth="1"/>
    <col min="5381" max="5381" width="13.7109375" style="21" customWidth="1"/>
    <col min="5382" max="5382" width="16.42578125" style="21" customWidth="1"/>
    <col min="5383" max="5383" width="22.28515625" style="21" customWidth="1"/>
    <col min="5384" max="5384" width="21.28515625" style="21" customWidth="1"/>
    <col min="5385" max="5632" width="11.42578125" style="21"/>
    <col min="5633" max="5633" width="1.5703125" style="21" customWidth="1"/>
    <col min="5634" max="5634" width="28.5703125" style="21" customWidth="1"/>
    <col min="5635" max="5635" width="16.5703125" style="21" customWidth="1"/>
    <col min="5636" max="5636" width="82" style="21" customWidth="1"/>
    <col min="5637" max="5637" width="13.7109375" style="21" customWidth="1"/>
    <col min="5638" max="5638" width="16.42578125" style="21" customWidth="1"/>
    <col min="5639" max="5639" width="22.28515625" style="21" customWidth="1"/>
    <col min="5640" max="5640" width="21.28515625" style="21" customWidth="1"/>
    <col min="5641" max="5888" width="11.42578125" style="21"/>
    <col min="5889" max="5889" width="1.5703125" style="21" customWidth="1"/>
    <col min="5890" max="5890" width="28.5703125" style="21" customWidth="1"/>
    <col min="5891" max="5891" width="16.5703125" style="21" customWidth="1"/>
    <col min="5892" max="5892" width="82" style="21" customWidth="1"/>
    <col min="5893" max="5893" width="13.7109375" style="21" customWidth="1"/>
    <col min="5894" max="5894" width="16.42578125" style="21" customWidth="1"/>
    <col min="5895" max="5895" width="22.28515625" style="21" customWidth="1"/>
    <col min="5896" max="5896" width="21.28515625" style="21" customWidth="1"/>
    <col min="5897" max="6144" width="11.42578125" style="21"/>
    <col min="6145" max="6145" width="1.5703125" style="21" customWidth="1"/>
    <col min="6146" max="6146" width="28.5703125" style="21" customWidth="1"/>
    <col min="6147" max="6147" width="16.5703125" style="21" customWidth="1"/>
    <col min="6148" max="6148" width="82" style="21" customWidth="1"/>
    <col min="6149" max="6149" width="13.7109375" style="21" customWidth="1"/>
    <col min="6150" max="6150" width="16.42578125" style="21" customWidth="1"/>
    <col min="6151" max="6151" width="22.28515625" style="21" customWidth="1"/>
    <col min="6152" max="6152" width="21.28515625" style="21" customWidth="1"/>
    <col min="6153" max="6400" width="11.42578125" style="21"/>
    <col min="6401" max="6401" width="1.5703125" style="21" customWidth="1"/>
    <col min="6402" max="6402" width="28.5703125" style="21" customWidth="1"/>
    <col min="6403" max="6403" width="16.5703125" style="21" customWidth="1"/>
    <col min="6404" max="6404" width="82" style="21" customWidth="1"/>
    <col min="6405" max="6405" width="13.7109375" style="21" customWidth="1"/>
    <col min="6406" max="6406" width="16.42578125" style="21" customWidth="1"/>
    <col min="6407" max="6407" width="22.28515625" style="21" customWidth="1"/>
    <col min="6408" max="6408" width="21.28515625" style="21" customWidth="1"/>
    <col min="6409" max="6656" width="11.42578125" style="21"/>
    <col min="6657" max="6657" width="1.5703125" style="21" customWidth="1"/>
    <col min="6658" max="6658" width="28.5703125" style="21" customWidth="1"/>
    <col min="6659" max="6659" width="16.5703125" style="21" customWidth="1"/>
    <col min="6660" max="6660" width="82" style="21" customWidth="1"/>
    <col min="6661" max="6661" width="13.7109375" style="21" customWidth="1"/>
    <col min="6662" max="6662" width="16.42578125" style="21" customWidth="1"/>
    <col min="6663" max="6663" width="22.28515625" style="21" customWidth="1"/>
    <col min="6664" max="6664" width="21.28515625" style="21" customWidth="1"/>
    <col min="6665" max="6912" width="11.42578125" style="21"/>
    <col min="6913" max="6913" width="1.5703125" style="21" customWidth="1"/>
    <col min="6914" max="6914" width="28.5703125" style="21" customWidth="1"/>
    <col min="6915" max="6915" width="16.5703125" style="21" customWidth="1"/>
    <col min="6916" max="6916" width="82" style="21" customWidth="1"/>
    <col min="6917" max="6917" width="13.7109375" style="21" customWidth="1"/>
    <col min="6918" max="6918" width="16.42578125" style="21" customWidth="1"/>
    <col min="6919" max="6919" width="22.28515625" style="21" customWidth="1"/>
    <col min="6920" max="6920" width="21.28515625" style="21" customWidth="1"/>
    <col min="6921" max="7168" width="11.42578125" style="21"/>
    <col min="7169" max="7169" width="1.5703125" style="21" customWidth="1"/>
    <col min="7170" max="7170" width="28.5703125" style="21" customWidth="1"/>
    <col min="7171" max="7171" width="16.5703125" style="21" customWidth="1"/>
    <col min="7172" max="7172" width="82" style="21" customWidth="1"/>
    <col min="7173" max="7173" width="13.7109375" style="21" customWidth="1"/>
    <col min="7174" max="7174" width="16.42578125" style="21" customWidth="1"/>
    <col min="7175" max="7175" width="22.28515625" style="21" customWidth="1"/>
    <col min="7176" max="7176" width="21.28515625" style="21" customWidth="1"/>
    <col min="7177" max="7424" width="11.42578125" style="21"/>
    <col min="7425" max="7425" width="1.5703125" style="21" customWidth="1"/>
    <col min="7426" max="7426" width="28.5703125" style="21" customWidth="1"/>
    <col min="7427" max="7427" width="16.5703125" style="21" customWidth="1"/>
    <col min="7428" max="7428" width="82" style="21" customWidth="1"/>
    <col min="7429" max="7429" width="13.7109375" style="21" customWidth="1"/>
    <col min="7430" max="7430" width="16.42578125" style="21" customWidth="1"/>
    <col min="7431" max="7431" width="22.28515625" style="21" customWidth="1"/>
    <col min="7432" max="7432" width="21.28515625" style="21" customWidth="1"/>
    <col min="7433" max="7680" width="11.42578125" style="21"/>
    <col min="7681" max="7681" width="1.5703125" style="21" customWidth="1"/>
    <col min="7682" max="7682" width="28.5703125" style="21" customWidth="1"/>
    <col min="7683" max="7683" width="16.5703125" style="21" customWidth="1"/>
    <col min="7684" max="7684" width="82" style="21" customWidth="1"/>
    <col min="7685" max="7685" width="13.7109375" style="21" customWidth="1"/>
    <col min="7686" max="7686" width="16.42578125" style="21" customWidth="1"/>
    <col min="7687" max="7687" width="22.28515625" style="21" customWidth="1"/>
    <col min="7688" max="7688" width="21.28515625" style="21" customWidth="1"/>
    <col min="7689" max="7936" width="11.42578125" style="21"/>
    <col min="7937" max="7937" width="1.5703125" style="21" customWidth="1"/>
    <col min="7938" max="7938" width="28.5703125" style="21" customWidth="1"/>
    <col min="7939" max="7939" width="16.5703125" style="21" customWidth="1"/>
    <col min="7940" max="7940" width="82" style="21" customWidth="1"/>
    <col min="7941" max="7941" width="13.7109375" style="21" customWidth="1"/>
    <col min="7942" max="7942" width="16.42578125" style="21" customWidth="1"/>
    <col min="7943" max="7943" width="22.28515625" style="21" customWidth="1"/>
    <col min="7944" max="7944" width="21.28515625" style="21" customWidth="1"/>
    <col min="7945" max="8192" width="11.42578125" style="21"/>
    <col min="8193" max="8193" width="1.5703125" style="21" customWidth="1"/>
    <col min="8194" max="8194" width="28.5703125" style="21" customWidth="1"/>
    <col min="8195" max="8195" width="16.5703125" style="21" customWidth="1"/>
    <col min="8196" max="8196" width="82" style="21" customWidth="1"/>
    <col min="8197" max="8197" width="13.7109375" style="21" customWidth="1"/>
    <col min="8198" max="8198" width="16.42578125" style="21" customWidth="1"/>
    <col min="8199" max="8199" width="22.28515625" style="21" customWidth="1"/>
    <col min="8200" max="8200" width="21.28515625" style="21" customWidth="1"/>
    <col min="8201" max="8448" width="11.42578125" style="21"/>
    <col min="8449" max="8449" width="1.5703125" style="21" customWidth="1"/>
    <col min="8450" max="8450" width="28.5703125" style="21" customWidth="1"/>
    <col min="8451" max="8451" width="16.5703125" style="21" customWidth="1"/>
    <col min="8452" max="8452" width="82" style="21" customWidth="1"/>
    <col min="8453" max="8453" width="13.7109375" style="21" customWidth="1"/>
    <col min="8454" max="8454" width="16.42578125" style="21" customWidth="1"/>
    <col min="8455" max="8455" width="22.28515625" style="21" customWidth="1"/>
    <col min="8456" max="8456" width="21.28515625" style="21" customWidth="1"/>
    <col min="8457" max="8704" width="11.42578125" style="21"/>
    <col min="8705" max="8705" width="1.5703125" style="21" customWidth="1"/>
    <col min="8706" max="8706" width="28.5703125" style="21" customWidth="1"/>
    <col min="8707" max="8707" width="16.5703125" style="21" customWidth="1"/>
    <col min="8708" max="8708" width="82" style="21" customWidth="1"/>
    <col min="8709" max="8709" width="13.7109375" style="21" customWidth="1"/>
    <col min="8710" max="8710" width="16.42578125" style="21" customWidth="1"/>
    <col min="8711" max="8711" width="22.28515625" style="21" customWidth="1"/>
    <col min="8712" max="8712" width="21.28515625" style="21" customWidth="1"/>
    <col min="8713" max="8960" width="11.42578125" style="21"/>
    <col min="8961" max="8961" width="1.5703125" style="21" customWidth="1"/>
    <col min="8962" max="8962" width="28.5703125" style="21" customWidth="1"/>
    <col min="8963" max="8963" width="16.5703125" style="21" customWidth="1"/>
    <col min="8964" max="8964" width="82" style="21" customWidth="1"/>
    <col min="8965" max="8965" width="13.7109375" style="21" customWidth="1"/>
    <col min="8966" max="8966" width="16.42578125" style="21" customWidth="1"/>
    <col min="8967" max="8967" width="22.28515625" style="21" customWidth="1"/>
    <col min="8968" max="8968" width="21.28515625" style="21" customWidth="1"/>
    <col min="8969" max="9216" width="11.42578125" style="21"/>
    <col min="9217" max="9217" width="1.5703125" style="21" customWidth="1"/>
    <col min="9218" max="9218" width="28.5703125" style="21" customWidth="1"/>
    <col min="9219" max="9219" width="16.5703125" style="21" customWidth="1"/>
    <col min="9220" max="9220" width="82" style="21" customWidth="1"/>
    <col min="9221" max="9221" width="13.7109375" style="21" customWidth="1"/>
    <col min="9222" max="9222" width="16.42578125" style="21" customWidth="1"/>
    <col min="9223" max="9223" width="22.28515625" style="21" customWidth="1"/>
    <col min="9224" max="9224" width="21.28515625" style="21" customWidth="1"/>
    <col min="9225" max="9472" width="11.42578125" style="21"/>
    <col min="9473" max="9473" width="1.5703125" style="21" customWidth="1"/>
    <col min="9474" max="9474" width="28.5703125" style="21" customWidth="1"/>
    <col min="9475" max="9475" width="16.5703125" style="21" customWidth="1"/>
    <col min="9476" max="9476" width="82" style="21" customWidth="1"/>
    <col min="9477" max="9477" width="13.7109375" style="21" customWidth="1"/>
    <col min="9478" max="9478" width="16.42578125" style="21" customWidth="1"/>
    <col min="9479" max="9479" width="22.28515625" style="21" customWidth="1"/>
    <col min="9480" max="9480" width="21.28515625" style="21" customWidth="1"/>
    <col min="9481" max="9728" width="11.42578125" style="21"/>
    <col min="9729" max="9729" width="1.5703125" style="21" customWidth="1"/>
    <col min="9730" max="9730" width="28.5703125" style="21" customWidth="1"/>
    <col min="9731" max="9731" width="16.5703125" style="21" customWidth="1"/>
    <col min="9732" max="9732" width="82" style="21" customWidth="1"/>
    <col min="9733" max="9733" width="13.7109375" style="21" customWidth="1"/>
    <col min="9734" max="9734" width="16.42578125" style="21" customWidth="1"/>
    <col min="9735" max="9735" width="22.28515625" style="21" customWidth="1"/>
    <col min="9736" max="9736" width="21.28515625" style="21" customWidth="1"/>
    <col min="9737" max="9984" width="11.42578125" style="21"/>
    <col min="9985" max="9985" width="1.5703125" style="21" customWidth="1"/>
    <col min="9986" max="9986" width="28.5703125" style="21" customWidth="1"/>
    <col min="9987" max="9987" width="16.5703125" style="21" customWidth="1"/>
    <col min="9988" max="9988" width="82" style="21" customWidth="1"/>
    <col min="9989" max="9989" width="13.7109375" style="21" customWidth="1"/>
    <col min="9990" max="9990" width="16.42578125" style="21" customWidth="1"/>
    <col min="9991" max="9991" width="22.28515625" style="21" customWidth="1"/>
    <col min="9992" max="9992" width="21.28515625" style="21" customWidth="1"/>
    <col min="9993" max="10240" width="11.42578125" style="21"/>
    <col min="10241" max="10241" width="1.5703125" style="21" customWidth="1"/>
    <col min="10242" max="10242" width="28.5703125" style="21" customWidth="1"/>
    <col min="10243" max="10243" width="16.5703125" style="21" customWidth="1"/>
    <col min="10244" max="10244" width="82" style="21" customWidth="1"/>
    <col min="10245" max="10245" width="13.7109375" style="21" customWidth="1"/>
    <col min="10246" max="10246" width="16.42578125" style="21" customWidth="1"/>
    <col min="10247" max="10247" width="22.28515625" style="21" customWidth="1"/>
    <col min="10248" max="10248" width="21.28515625" style="21" customWidth="1"/>
    <col min="10249" max="10496" width="11.42578125" style="21"/>
    <col min="10497" max="10497" width="1.5703125" style="21" customWidth="1"/>
    <col min="10498" max="10498" width="28.5703125" style="21" customWidth="1"/>
    <col min="10499" max="10499" width="16.5703125" style="21" customWidth="1"/>
    <col min="10500" max="10500" width="82" style="21" customWidth="1"/>
    <col min="10501" max="10501" width="13.7109375" style="21" customWidth="1"/>
    <col min="10502" max="10502" width="16.42578125" style="21" customWidth="1"/>
    <col min="10503" max="10503" width="22.28515625" style="21" customWidth="1"/>
    <col min="10504" max="10504" width="21.28515625" style="21" customWidth="1"/>
    <col min="10505" max="10752" width="11.42578125" style="21"/>
    <col min="10753" max="10753" width="1.5703125" style="21" customWidth="1"/>
    <col min="10754" max="10754" width="28.5703125" style="21" customWidth="1"/>
    <col min="10755" max="10755" width="16.5703125" style="21" customWidth="1"/>
    <col min="10756" max="10756" width="82" style="21" customWidth="1"/>
    <col min="10757" max="10757" width="13.7109375" style="21" customWidth="1"/>
    <col min="10758" max="10758" width="16.42578125" style="21" customWidth="1"/>
    <col min="10759" max="10759" width="22.28515625" style="21" customWidth="1"/>
    <col min="10760" max="10760" width="21.28515625" style="21" customWidth="1"/>
    <col min="10761" max="11008" width="11.42578125" style="21"/>
    <col min="11009" max="11009" width="1.5703125" style="21" customWidth="1"/>
    <col min="11010" max="11010" width="28.5703125" style="21" customWidth="1"/>
    <col min="11011" max="11011" width="16.5703125" style="21" customWidth="1"/>
    <col min="11012" max="11012" width="82" style="21" customWidth="1"/>
    <col min="11013" max="11013" width="13.7109375" style="21" customWidth="1"/>
    <col min="11014" max="11014" width="16.42578125" style="21" customWidth="1"/>
    <col min="11015" max="11015" width="22.28515625" style="21" customWidth="1"/>
    <col min="11016" max="11016" width="21.28515625" style="21" customWidth="1"/>
    <col min="11017" max="11264" width="11.42578125" style="21"/>
    <col min="11265" max="11265" width="1.5703125" style="21" customWidth="1"/>
    <col min="11266" max="11266" width="28.5703125" style="21" customWidth="1"/>
    <col min="11267" max="11267" width="16.5703125" style="21" customWidth="1"/>
    <col min="11268" max="11268" width="82" style="21" customWidth="1"/>
    <col min="11269" max="11269" width="13.7109375" style="21" customWidth="1"/>
    <col min="11270" max="11270" width="16.42578125" style="21" customWidth="1"/>
    <col min="11271" max="11271" width="22.28515625" style="21" customWidth="1"/>
    <col min="11272" max="11272" width="21.28515625" style="21" customWidth="1"/>
    <col min="11273" max="11520" width="11.42578125" style="21"/>
    <col min="11521" max="11521" width="1.5703125" style="21" customWidth="1"/>
    <col min="11522" max="11522" width="28.5703125" style="21" customWidth="1"/>
    <col min="11523" max="11523" width="16.5703125" style="21" customWidth="1"/>
    <col min="11524" max="11524" width="82" style="21" customWidth="1"/>
    <col min="11525" max="11525" width="13.7109375" style="21" customWidth="1"/>
    <col min="11526" max="11526" width="16.42578125" style="21" customWidth="1"/>
    <col min="11527" max="11527" width="22.28515625" style="21" customWidth="1"/>
    <col min="11528" max="11528" width="21.28515625" style="21" customWidth="1"/>
    <col min="11529" max="11776" width="11.42578125" style="21"/>
    <col min="11777" max="11777" width="1.5703125" style="21" customWidth="1"/>
    <col min="11778" max="11778" width="28.5703125" style="21" customWidth="1"/>
    <col min="11779" max="11779" width="16.5703125" style="21" customWidth="1"/>
    <col min="11780" max="11780" width="82" style="21" customWidth="1"/>
    <col min="11781" max="11781" width="13.7109375" style="21" customWidth="1"/>
    <col min="11782" max="11782" width="16.42578125" style="21" customWidth="1"/>
    <col min="11783" max="11783" width="22.28515625" style="21" customWidth="1"/>
    <col min="11784" max="11784" width="21.28515625" style="21" customWidth="1"/>
    <col min="11785" max="12032" width="11.42578125" style="21"/>
    <col min="12033" max="12033" width="1.5703125" style="21" customWidth="1"/>
    <col min="12034" max="12034" width="28.5703125" style="21" customWidth="1"/>
    <col min="12035" max="12035" width="16.5703125" style="21" customWidth="1"/>
    <col min="12036" max="12036" width="82" style="21" customWidth="1"/>
    <col min="12037" max="12037" width="13.7109375" style="21" customWidth="1"/>
    <col min="12038" max="12038" width="16.42578125" style="21" customWidth="1"/>
    <col min="12039" max="12039" width="22.28515625" style="21" customWidth="1"/>
    <col min="12040" max="12040" width="21.28515625" style="21" customWidth="1"/>
    <col min="12041" max="12288" width="11.42578125" style="21"/>
    <col min="12289" max="12289" width="1.5703125" style="21" customWidth="1"/>
    <col min="12290" max="12290" width="28.5703125" style="21" customWidth="1"/>
    <col min="12291" max="12291" width="16.5703125" style="21" customWidth="1"/>
    <col min="12292" max="12292" width="82" style="21" customWidth="1"/>
    <col min="12293" max="12293" width="13.7109375" style="21" customWidth="1"/>
    <col min="12294" max="12294" width="16.42578125" style="21" customWidth="1"/>
    <col min="12295" max="12295" width="22.28515625" style="21" customWidth="1"/>
    <col min="12296" max="12296" width="21.28515625" style="21" customWidth="1"/>
    <col min="12297" max="12544" width="11.42578125" style="21"/>
    <col min="12545" max="12545" width="1.5703125" style="21" customWidth="1"/>
    <col min="12546" max="12546" width="28.5703125" style="21" customWidth="1"/>
    <col min="12547" max="12547" width="16.5703125" style="21" customWidth="1"/>
    <col min="12548" max="12548" width="82" style="21" customWidth="1"/>
    <col min="12549" max="12549" width="13.7109375" style="21" customWidth="1"/>
    <col min="12550" max="12550" width="16.42578125" style="21" customWidth="1"/>
    <col min="12551" max="12551" width="22.28515625" style="21" customWidth="1"/>
    <col min="12552" max="12552" width="21.28515625" style="21" customWidth="1"/>
    <col min="12553" max="12800" width="11.42578125" style="21"/>
    <col min="12801" max="12801" width="1.5703125" style="21" customWidth="1"/>
    <col min="12802" max="12802" width="28.5703125" style="21" customWidth="1"/>
    <col min="12803" max="12803" width="16.5703125" style="21" customWidth="1"/>
    <col min="12804" max="12804" width="82" style="21" customWidth="1"/>
    <col min="12805" max="12805" width="13.7109375" style="21" customWidth="1"/>
    <col min="12806" max="12806" width="16.42578125" style="21" customWidth="1"/>
    <col min="12807" max="12807" width="22.28515625" style="21" customWidth="1"/>
    <col min="12808" max="12808" width="21.28515625" style="21" customWidth="1"/>
    <col min="12809" max="13056" width="11.42578125" style="21"/>
    <col min="13057" max="13057" width="1.5703125" style="21" customWidth="1"/>
    <col min="13058" max="13058" width="28.5703125" style="21" customWidth="1"/>
    <col min="13059" max="13059" width="16.5703125" style="21" customWidth="1"/>
    <col min="13060" max="13060" width="82" style="21" customWidth="1"/>
    <col min="13061" max="13061" width="13.7109375" style="21" customWidth="1"/>
    <col min="13062" max="13062" width="16.42578125" style="21" customWidth="1"/>
    <col min="13063" max="13063" width="22.28515625" style="21" customWidth="1"/>
    <col min="13064" max="13064" width="21.28515625" style="21" customWidth="1"/>
    <col min="13065" max="13312" width="11.42578125" style="21"/>
    <col min="13313" max="13313" width="1.5703125" style="21" customWidth="1"/>
    <col min="13314" max="13314" width="28.5703125" style="21" customWidth="1"/>
    <col min="13315" max="13315" width="16.5703125" style="21" customWidth="1"/>
    <col min="13316" max="13316" width="82" style="21" customWidth="1"/>
    <col min="13317" max="13317" width="13.7109375" style="21" customWidth="1"/>
    <col min="13318" max="13318" width="16.42578125" style="21" customWidth="1"/>
    <col min="13319" max="13319" width="22.28515625" style="21" customWidth="1"/>
    <col min="13320" max="13320" width="21.28515625" style="21" customWidth="1"/>
    <col min="13321" max="13568" width="11.42578125" style="21"/>
    <col min="13569" max="13569" width="1.5703125" style="21" customWidth="1"/>
    <col min="13570" max="13570" width="28.5703125" style="21" customWidth="1"/>
    <col min="13571" max="13571" width="16.5703125" style="21" customWidth="1"/>
    <col min="13572" max="13572" width="82" style="21" customWidth="1"/>
    <col min="13573" max="13573" width="13.7109375" style="21" customWidth="1"/>
    <col min="13574" max="13574" width="16.42578125" style="21" customWidth="1"/>
    <col min="13575" max="13575" width="22.28515625" style="21" customWidth="1"/>
    <col min="13576" max="13576" width="21.28515625" style="21" customWidth="1"/>
    <col min="13577" max="13824" width="11.42578125" style="21"/>
    <col min="13825" max="13825" width="1.5703125" style="21" customWidth="1"/>
    <col min="13826" max="13826" width="28.5703125" style="21" customWidth="1"/>
    <col min="13827" max="13827" width="16.5703125" style="21" customWidth="1"/>
    <col min="13828" max="13828" width="82" style="21" customWidth="1"/>
    <col min="13829" max="13829" width="13.7109375" style="21" customWidth="1"/>
    <col min="13830" max="13830" width="16.42578125" style="21" customWidth="1"/>
    <col min="13831" max="13831" width="22.28515625" style="21" customWidth="1"/>
    <col min="13832" max="13832" width="21.28515625" style="21" customWidth="1"/>
    <col min="13833" max="14080" width="11.42578125" style="21"/>
    <col min="14081" max="14081" width="1.5703125" style="21" customWidth="1"/>
    <col min="14082" max="14082" width="28.5703125" style="21" customWidth="1"/>
    <col min="14083" max="14083" width="16.5703125" style="21" customWidth="1"/>
    <col min="14084" max="14084" width="82" style="21" customWidth="1"/>
    <col min="14085" max="14085" width="13.7109375" style="21" customWidth="1"/>
    <col min="14086" max="14086" width="16.42578125" style="21" customWidth="1"/>
    <col min="14087" max="14087" width="22.28515625" style="21" customWidth="1"/>
    <col min="14088" max="14088" width="21.28515625" style="21" customWidth="1"/>
    <col min="14089" max="14336" width="11.42578125" style="21"/>
    <col min="14337" max="14337" width="1.5703125" style="21" customWidth="1"/>
    <col min="14338" max="14338" width="28.5703125" style="21" customWidth="1"/>
    <col min="14339" max="14339" width="16.5703125" style="21" customWidth="1"/>
    <col min="14340" max="14340" width="82" style="21" customWidth="1"/>
    <col min="14341" max="14341" width="13.7109375" style="21" customWidth="1"/>
    <col min="14342" max="14342" width="16.42578125" style="21" customWidth="1"/>
    <col min="14343" max="14343" width="22.28515625" style="21" customWidth="1"/>
    <col min="14344" max="14344" width="21.28515625" style="21" customWidth="1"/>
    <col min="14345" max="14592" width="11.42578125" style="21"/>
    <col min="14593" max="14593" width="1.5703125" style="21" customWidth="1"/>
    <col min="14594" max="14594" width="28.5703125" style="21" customWidth="1"/>
    <col min="14595" max="14595" width="16.5703125" style="21" customWidth="1"/>
    <col min="14596" max="14596" width="82" style="21" customWidth="1"/>
    <col min="14597" max="14597" width="13.7109375" style="21" customWidth="1"/>
    <col min="14598" max="14598" width="16.42578125" style="21" customWidth="1"/>
    <col min="14599" max="14599" width="22.28515625" style="21" customWidth="1"/>
    <col min="14600" max="14600" width="21.28515625" style="21" customWidth="1"/>
    <col min="14601" max="14848" width="11.42578125" style="21"/>
    <col min="14849" max="14849" width="1.5703125" style="21" customWidth="1"/>
    <col min="14850" max="14850" width="28.5703125" style="21" customWidth="1"/>
    <col min="14851" max="14851" width="16.5703125" style="21" customWidth="1"/>
    <col min="14852" max="14852" width="82" style="21" customWidth="1"/>
    <col min="14853" max="14853" width="13.7109375" style="21" customWidth="1"/>
    <col min="14854" max="14854" width="16.42578125" style="21" customWidth="1"/>
    <col min="14855" max="14855" width="22.28515625" style="21" customWidth="1"/>
    <col min="14856" max="14856" width="21.28515625" style="21" customWidth="1"/>
    <col min="14857" max="15104" width="11.42578125" style="21"/>
    <col min="15105" max="15105" width="1.5703125" style="21" customWidth="1"/>
    <col min="15106" max="15106" width="28.5703125" style="21" customWidth="1"/>
    <col min="15107" max="15107" width="16.5703125" style="21" customWidth="1"/>
    <col min="15108" max="15108" width="82" style="21" customWidth="1"/>
    <col min="15109" max="15109" width="13.7109375" style="21" customWidth="1"/>
    <col min="15110" max="15110" width="16.42578125" style="21" customWidth="1"/>
    <col min="15111" max="15111" width="22.28515625" style="21" customWidth="1"/>
    <col min="15112" max="15112" width="21.28515625" style="21" customWidth="1"/>
    <col min="15113" max="15360" width="11.42578125" style="21"/>
    <col min="15361" max="15361" width="1.5703125" style="21" customWidth="1"/>
    <col min="15362" max="15362" width="28.5703125" style="21" customWidth="1"/>
    <col min="15363" max="15363" width="16.5703125" style="21" customWidth="1"/>
    <col min="15364" max="15364" width="82" style="21" customWidth="1"/>
    <col min="15365" max="15365" width="13.7109375" style="21" customWidth="1"/>
    <col min="15366" max="15366" width="16.42578125" style="21" customWidth="1"/>
    <col min="15367" max="15367" width="22.28515625" style="21" customWidth="1"/>
    <col min="15368" max="15368" width="21.28515625" style="21" customWidth="1"/>
    <col min="15369" max="15616" width="11.42578125" style="21"/>
    <col min="15617" max="15617" width="1.5703125" style="21" customWidth="1"/>
    <col min="15618" max="15618" width="28.5703125" style="21" customWidth="1"/>
    <col min="15619" max="15619" width="16.5703125" style="21" customWidth="1"/>
    <col min="15620" max="15620" width="82" style="21" customWidth="1"/>
    <col min="15621" max="15621" width="13.7109375" style="21" customWidth="1"/>
    <col min="15622" max="15622" width="16.42578125" style="21" customWidth="1"/>
    <col min="15623" max="15623" width="22.28515625" style="21" customWidth="1"/>
    <col min="15624" max="15624" width="21.28515625" style="21" customWidth="1"/>
    <col min="15625" max="15872" width="11.42578125" style="21"/>
    <col min="15873" max="15873" width="1.5703125" style="21" customWidth="1"/>
    <col min="15874" max="15874" width="28.5703125" style="21" customWidth="1"/>
    <col min="15875" max="15875" width="16.5703125" style="21" customWidth="1"/>
    <col min="15876" max="15876" width="82" style="21" customWidth="1"/>
    <col min="15877" max="15877" width="13.7109375" style="21" customWidth="1"/>
    <col min="15878" max="15878" width="16.42578125" style="21" customWidth="1"/>
    <col min="15879" max="15879" width="22.28515625" style="21" customWidth="1"/>
    <col min="15880" max="15880" width="21.28515625" style="21" customWidth="1"/>
    <col min="15881" max="16128" width="11.42578125" style="21"/>
    <col min="16129" max="16129" width="1.5703125" style="21" customWidth="1"/>
    <col min="16130" max="16130" width="28.5703125" style="21" customWidth="1"/>
    <col min="16131" max="16131" width="16.5703125" style="21" customWidth="1"/>
    <col min="16132" max="16132" width="82" style="21" customWidth="1"/>
    <col min="16133" max="16133" width="13.7109375" style="21" customWidth="1"/>
    <col min="16134" max="16134" width="16.42578125" style="21" customWidth="1"/>
    <col min="16135" max="16135" width="22.28515625" style="21" customWidth="1"/>
    <col min="16136" max="16136" width="21.28515625" style="21" customWidth="1"/>
    <col min="16137" max="16384" width="11.42578125" style="21"/>
  </cols>
  <sheetData>
    <row r="1" spans="1:19" s="13" customFormat="1" ht="28.5" customHeight="1" x14ac:dyDescent="0.25">
      <c r="A1" s="9"/>
      <c r="B1" s="10"/>
      <c r="C1" s="101" t="s">
        <v>10</v>
      </c>
      <c r="D1" s="101"/>
      <c r="E1" s="102" t="s">
        <v>11</v>
      </c>
      <c r="F1" s="11"/>
      <c r="G1" s="11"/>
      <c r="H1" s="11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s="13" customFormat="1" ht="29.25" customHeight="1" thickBot="1" x14ac:dyDescent="0.3">
      <c r="A2" s="9"/>
      <c r="B2" s="14"/>
      <c r="C2" s="104" t="s">
        <v>12</v>
      </c>
      <c r="D2" s="104"/>
      <c r="E2" s="103"/>
      <c r="F2" s="15"/>
      <c r="G2" s="15"/>
      <c r="H2" s="16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ht="18.75" customHeight="1" x14ac:dyDescent="0.25">
      <c r="B3" s="105" t="s">
        <v>13</v>
      </c>
      <c r="C3" s="19" t="s">
        <v>14</v>
      </c>
      <c r="D3" s="106">
        <v>45162</v>
      </c>
      <c r="E3" s="107"/>
      <c r="F3" s="20"/>
      <c r="G3" s="20"/>
      <c r="H3" s="20"/>
    </row>
    <row r="4" spans="1:19" ht="18.75" customHeight="1" x14ac:dyDescent="0.25">
      <c r="B4" s="80"/>
      <c r="C4" s="22" t="s">
        <v>15</v>
      </c>
      <c r="D4" s="108">
        <f>+D3+100</f>
        <v>45262</v>
      </c>
      <c r="E4" s="109"/>
      <c r="F4" s="20"/>
      <c r="G4" s="20"/>
      <c r="H4" s="20"/>
    </row>
    <row r="5" spans="1:19" ht="18.75" customHeight="1" x14ac:dyDescent="0.25">
      <c r="B5" s="23" t="s">
        <v>16</v>
      </c>
      <c r="C5" s="100" t="s">
        <v>17</v>
      </c>
      <c r="D5" s="95"/>
      <c r="E5" s="96"/>
      <c r="F5" s="24"/>
      <c r="G5" s="24"/>
      <c r="H5" s="24"/>
    </row>
    <row r="6" spans="1:19" ht="18.75" customHeight="1" x14ac:dyDescent="0.25">
      <c r="B6" s="23" t="s">
        <v>18</v>
      </c>
      <c r="C6" s="100" t="s">
        <v>19</v>
      </c>
      <c r="D6" s="95"/>
      <c r="E6" s="96"/>
      <c r="F6" s="24"/>
      <c r="G6" s="24"/>
      <c r="H6" s="24"/>
    </row>
    <row r="7" spans="1:19" ht="18.75" customHeight="1" x14ac:dyDescent="0.25">
      <c r="B7" s="23" t="s">
        <v>20</v>
      </c>
      <c r="C7" s="100" t="s">
        <v>21</v>
      </c>
      <c r="D7" s="95"/>
      <c r="E7" s="96"/>
      <c r="F7" s="25"/>
      <c r="G7" s="25"/>
      <c r="H7" s="25"/>
    </row>
    <row r="8" spans="1:19" ht="18.75" customHeight="1" x14ac:dyDescent="0.25">
      <c r="B8" s="23" t="s">
        <v>22</v>
      </c>
      <c r="C8" s="100" t="s">
        <v>23</v>
      </c>
      <c r="D8" s="95"/>
      <c r="E8" s="96"/>
      <c r="F8" s="25"/>
      <c r="G8" s="25"/>
      <c r="H8" s="25"/>
    </row>
    <row r="9" spans="1:19" ht="18.75" customHeight="1" x14ac:dyDescent="0.25">
      <c r="B9" s="23" t="s">
        <v>24</v>
      </c>
      <c r="C9" s="100" t="s">
        <v>25</v>
      </c>
      <c r="D9" s="95"/>
      <c r="E9" s="96"/>
      <c r="F9" s="25"/>
      <c r="G9" s="25"/>
      <c r="H9" s="25"/>
    </row>
    <row r="10" spans="1:19" ht="18.75" customHeight="1" x14ac:dyDescent="0.25">
      <c r="B10" s="23" t="s">
        <v>26</v>
      </c>
      <c r="C10" s="100" t="s">
        <v>27</v>
      </c>
      <c r="D10" s="95"/>
      <c r="E10" s="96"/>
      <c r="F10" s="24"/>
      <c r="G10" s="24"/>
      <c r="H10" s="24"/>
    </row>
    <row r="11" spans="1:19" ht="18.75" customHeight="1" x14ac:dyDescent="0.25">
      <c r="B11" s="26" t="s">
        <v>28</v>
      </c>
      <c r="C11" s="87" t="s">
        <v>29</v>
      </c>
      <c r="D11" s="88"/>
      <c r="E11" s="89"/>
      <c r="F11" s="25"/>
      <c r="G11" s="25"/>
      <c r="H11" s="25"/>
    </row>
    <row r="12" spans="1:19" ht="18.75" customHeight="1" thickBot="1" x14ac:dyDescent="0.3">
      <c r="B12" s="27" t="s">
        <v>30</v>
      </c>
      <c r="C12" s="90">
        <v>100000</v>
      </c>
      <c r="D12" s="91"/>
      <c r="E12" s="92"/>
      <c r="F12" s="28" t="s">
        <v>31</v>
      </c>
      <c r="G12" s="29"/>
      <c r="H12" s="29"/>
    </row>
    <row r="13" spans="1:19" ht="18.75" customHeight="1" thickBot="1" x14ac:dyDescent="0.3">
      <c r="B13" s="93" t="s">
        <v>32</v>
      </c>
      <c r="C13" s="30" t="s">
        <v>33</v>
      </c>
      <c r="D13" s="31" t="s">
        <v>34</v>
      </c>
      <c r="E13" s="32" t="s">
        <v>35</v>
      </c>
      <c r="F13" s="29"/>
      <c r="G13" s="29"/>
      <c r="H13" s="29"/>
    </row>
    <row r="14" spans="1:19" ht="18.75" customHeight="1" x14ac:dyDescent="0.25">
      <c r="B14" s="93"/>
      <c r="C14" s="33" t="s">
        <v>36</v>
      </c>
      <c r="D14" s="34" t="s">
        <v>37</v>
      </c>
      <c r="E14" s="35">
        <v>80000</v>
      </c>
      <c r="F14" s="36"/>
      <c r="G14" s="36"/>
      <c r="H14" s="36"/>
    </row>
    <row r="15" spans="1:19" ht="18.75" customHeight="1" x14ac:dyDescent="0.25">
      <c r="B15" s="93"/>
      <c r="C15" s="33"/>
      <c r="D15" s="34"/>
      <c r="E15" s="35">
        <v>0</v>
      </c>
      <c r="F15" s="36"/>
      <c r="G15" s="36"/>
      <c r="H15" s="36"/>
    </row>
    <row r="16" spans="1:19" ht="18.75" customHeight="1" x14ac:dyDescent="0.25">
      <c r="B16" s="93"/>
      <c r="C16" s="33"/>
      <c r="D16" s="34"/>
      <c r="E16" s="37"/>
      <c r="F16" s="36"/>
      <c r="G16" s="36"/>
      <c r="H16" s="36"/>
    </row>
    <row r="17" spans="1:8" ht="18.75" customHeight="1" x14ac:dyDescent="0.25">
      <c r="B17" s="23" t="s">
        <v>38</v>
      </c>
      <c r="C17" s="94">
        <f>SUM(E14:E16)</f>
        <v>80000</v>
      </c>
      <c r="D17" s="95"/>
      <c r="E17" s="96"/>
      <c r="F17" s="29"/>
      <c r="G17" s="29"/>
      <c r="H17" s="29"/>
    </row>
    <row r="18" spans="1:8" ht="18.75" customHeight="1" x14ac:dyDescent="0.25">
      <c r="B18" s="23" t="s">
        <v>39</v>
      </c>
      <c r="C18" s="97">
        <f>+C17/C12</f>
        <v>0.8</v>
      </c>
      <c r="D18" s="98"/>
      <c r="E18" s="99"/>
      <c r="F18" s="38"/>
      <c r="G18" s="38"/>
      <c r="H18" s="38"/>
    </row>
    <row r="19" spans="1:8" ht="18.75" customHeight="1" x14ac:dyDescent="0.25">
      <c r="B19" s="23" t="s">
        <v>40</v>
      </c>
      <c r="C19" s="100">
        <v>1</v>
      </c>
      <c r="D19" s="95"/>
      <c r="E19" s="96"/>
      <c r="F19" s="24"/>
      <c r="G19" s="24"/>
      <c r="H19" s="24"/>
    </row>
    <row r="20" spans="1:8" ht="18.75" customHeight="1" x14ac:dyDescent="0.25">
      <c r="B20" s="80" t="s">
        <v>41</v>
      </c>
      <c r="C20" s="39" t="s">
        <v>42</v>
      </c>
      <c r="D20" s="40"/>
      <c r="E20" s="41"/>
      <c r="F20" s="24"/>
      <c r="G20" s="24"/>
      <c r="H20" s="24"/>
    </row>
    <row r="21" spans="1:8" ht="18.75" customHeight="1" x14ac:dyDescent="0.25">
      <c r="B21" s="80"/>
      <c r="C21" s="39" t="s">
        <v>43</v>
      </c>
      <c r="D21" s="42" t="s">
        <v>44</v>
      </c>
      <c r="E21" s="41"/>
      <c r="F21" s="24"/>
      <c r="G21" s="24"/>
      <c r="H21" s="24"/>
    </row>
    <row r="22" spans="1:8" ht="18.75" customHeight="1" x14ac:dyDescent="0.25">
      <c r="B22" s="80"/>
      <c r="C22" s="39" t="s">
        <v>45</v>
      </c>
      <c r="D22" s="40"/>
      <c r="E22" s="41"/>
      <c r="F22" s="24"/>
      <c r="G22" s="24"/>
      <c r="H22" s="24"/>
    </row>
    <row r="23" spans="1:8" ht="18.75" customHeight="1" x14ac:dyDescent="0.25">
      <c r="B23" s="23" t="s">
        <v>46</v>
      </c>
      <c r="C23" s="81" t="s">
        <v>47</v>
      </c>
      <c r="D23" s="71"/>
      <c r="E23" s="72"/>
      <c r="F23" s="24"/>
      <c r="G23" s="24"/>
      <c r="H23" s="24"/>
    </row>
    <row r="24" spans="1:8" ht="18.75" customHeight="1" x14ac:dyDescent="0.25">
      <c r="B24" s="23" t="s">
        <v>48</v>
      </c>
      <c r="C24" s="81" t="s">
        <v>49</v>
      </c>
      <c r="D24" s="71"/>
      <c r="E24" s="72"/>
      <c r="F24" s="24"/>
      <c r="G24" s="24"/>
      <c r="H24" s="24"/>
    </row>
    <row r="25" spans="1:8" ht="18.75" customHeight="1" thickBot="1" x14ac:dyDescent="0.3">
      <c r="B25" s="43" t="s">
        <v>50</v>
      </c>
      <c r="C25" s="82">
        <v>4</v>
      </c>
      <c r="D25" s="83"/>
      <c r="E25" s="41" t="s">
        <v>51</v>
      </c>
      <c r="F25" s="24"/>
      <c r="G25" s="24"/>
      <c r="H25" s="24"/>
    </row>
    <row r="26" spans="1:8" ht="48.75" x14ac:dyDescent="0.25">
      <c r="A26" s="18" t="s">
        <v>52</v>
      </c>
      <c r="B26" s="44" t="s">
        <v>53</v>
      </c>
      <c r="C26" s="84" t="s">
        <v>54</v>
      </c>
      <c r="D26" s="85"/>
      <c r="E26" s="86"/>
      <c r="F26" s="24"/>
      <c r="G26" s="24"/>
      <c r="H26" s="24"/>
    </row>
    <row r="27" spans="1:8" ht="18" customHeight="1" x14ac:dyDescent="0.25">
      <c r="B27" s="45" t="s">
        <v>55</v>
      </c>
      <c r="C27" s="70">
        <v>505</v>
      </c>
      <c r="D27" s="71"/>
      <c r="E27" s="72"/>
      <c r="F27" s="46"/>
      <c r="G27" s="46"/>
      <c r="H27" s="46"/>
    </row>
    <row r="28" spans="1:8" ht="22.5" customHeight="1" x14ac:dyDescent="0.25">
      <c r="A28" s="18" t="s">
        <v>56</v>
      </c>
      <c r="B28" s="45" t="s">
        <v>57</v>
      </c>
      <c r="C28" s="67" t="s">
        <v>58</v>
      </c>
      <c r="D28" s="68"/>
      <c r="E28" s="69"/>
      <c r="F28" s="46"/>
      <c r="G28" s="46"/>
      <c r="H28" s="46"/>
    </row>
    <row r="29" spans="1:8" ht="33" x14ac:dyDescent="0.25">
      <c r="A29" s="18" t="s">
        <v>56</v>
      </c>
      <c r="B29" s="45" t="s">
        <v>59</v>
      </c>
      <c r="C29" s="70" t="s">
        <v>74</v>
      </c>
      <c r="D29" s="71"/>
      <c r="E29" s="72"/>
      <c r="F29" s="47"/>
      <c r="G29" s="47"/>
      <c r="H29" s="47"/>
    </row>
    <row r="30" spans="1:8" ht="15.75" x14ac:dyDescent="0.25">
      <c r="B30" s="73" t="s">
        <v>60</v>
      </c>
      <c r="C30" s="48" t="s">
        <v>61</v>
      </c>
      <c r="D30" s="49"/>
      <c r="E30" s="50"/>
      <c r="F30" s="51"/>
      <c r="G30" s="51"/>
      <c r="H30" s="51"/>
    </row>
    <row r="31" spans="1:8" ht="16.5" thickBot="1" x14ac:dyDescent="0.3">
      <c r="B31" s="74"/>
      <c r="C31" s="48" t="s">
        <v>62</v>
      </c>
      <c r="D31" s="52" t="s">
        <v>44</v>
      </c>
      <c r="E31" s="50"/>
      <c r="F31" s="51"/>
      <c r="G31" s="51"/>
      <c r="H31" s="51"/>
    </row>
    <row r="32" spans="1:8" ht="15.75" x14ac:dyDescent="0.25">
      <c r="B32" s="53" t="s">
        <v>63</v>
      </c>
      <c r="C32" s="75" t="s">
        <v>64</v>
      </c>
      <c r="D32" s="76"/>
      <c r="E32" s="77" t="s">
        <v>65</v>
      </c>
      <c r="F32" s="54"/>
      <c r="G32" s="54"/>
      <c r="H32" s="54"/>
    </row>
    <row r="33" spans="1:8" ht="111.75" x14ac:dyDescent="0.25">
      <c r="A33" s="18" t="s">
        <v>66</v>
      </c>
      <c r="B33" s="55" t="s">
        <v>67</v>
      </c>
      <c r="C33" s="78" t="s">
        <v>68</v>
      </c>
      <c r="D33" s="79"/>
      <c r="E33" s="77"/>
      <c r="F33" s="56"/>
      <c r="G33" s="56"/>
      <c r="H33" s="56"/>
    </row>
    <row r="34" spans="1:8" ht="15.75" x14ac:dyDescent="0.25">
      <c r="B34" s="57" t="s">
        <v>63</v>
      </c>
      <c r="C34" s="61" t="s">
        <v>69</v>
      </c>
      <c r="D34" s="62"/>
      <c r="E34" s="63" t="s">
        <v>70</v>
      </c>
      <c r="F34" s="54"/>
      <c r="G34" s="54"/>
      <c r="H34" s="54"/>
    </row>
    <row r="35" spans="1:8" ht="65.25" thickBot="1" x14ac:dyDescent="0.3">
      <c r="A35" s="18" t="s">
        <v>71</v>
      </c>
      <c r="B35" s="58" t="s">
        <v>72</v>
      </c>
      <c r="C35" s="65" t="s">
        <v>73</v>
      </c>
      <c r="D35" s="66"/>
      <c r="E35" s="64"/>
      <c r="F35" s="56"/>
      <c r="G35" s="56"/>
      <c r="H35" s="56"/>
    </row>
  </sheetData>
  <mergeCells count="33">
    <mergeCell ref="C1:D1"/>
    <mergeCell ref="E1:E2"/>
    <mergeCell ref="C2:D2"/>
    <mergeCell ref="B3:B4"/>
    <mergeCell ref="D3:E3"/>
    <mergeCell ref="D4:E4"/>
    <mergeCell ref="C19:E19"/>
    <mergeCell ref="C5:E5"/>
    <mergeCell ref="C6:E6"/>
    <mergeCell ref="C7:E7"/>
    <mergeCell ref="C8:E8"/>
    <mergeCell ref="C9:E9"/>
    <mergeCell ref="C10:E10"/>
    <mergeCell ref="C11:E11"/>
    <mergeCell ref="C12:E12"/>
    <mergeCell ref="B13:B16"/>
    <mergeCell ref="C17:E17"/>
    <mergeCell ref="C18:E18"/>
    <mergeCell ref="B30:B31"/>
    <mergeCell ref="C32:D32"/>
    <mergeCell ref="E32:E33"/>
    <mergeCell ref="C33:D33"/>
    <mergeCell ref="B20:B22"/>
    <mergeCell ref="C23:E23"/>
    <mergeCell ref="C24:E24"/>
    <mergeCell ref="C25:D25"/>
    <mergeCell ref="C26:E26"/>
    <mergeCell ref="C27:E27"/>
    <mergeCell ref="C34:D34"/>
    <mergeCell ref="E34:E35"/>
    <mergeCell ref="C35:D35"/>
    <mergeCell ref="C28:E28"/>
    <mergeCell ref="C29:E2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1E3B-8AEE-4B37-A9CE-4664D1D227A5}">
  <dimension ref="A1:J6"/>
  <sheetViews>
    <sheetView workbookViewId="0">
      <pane ySplit="1" topLeftCell="A2" activePane="bottomLeft" state="frozen"/>
      <selection activeCell="B1" sqref="B1"/>
      <selection pane="bottomLeft" activeCell="B7" sqref="B7"/>
    </sheetView>
  </sheetViews>
  <sheetFormatPr baseColWidth="10" defaultColWidth="9.140625" defaultRowHeight="15" x14ac:dyDescent="0.25"/>
  <cols>
    <col min="1" max="1" width="20.7109375" customWidth="1"/>
    <col min="2" max="2" width="42" customWidth="1"/>
    <col min="3" max="3" width="23.7109375" customWidth="1"/>
    <col min="4" max="4" width="13.140625" style="5" customWidth="1"/>
    <col min="5" max="5" width="12" customWidth="1"/>
    <col min="6" max="6" width="21.28515625" bestFit="1" customWidth="1"/>
    <col min="7" max="7" width="21.42578125" customWidth="1"/>
    <col min="8" max="8" width="12.7109375" customWidth="1"/>
  </cols>
  <sheetData>
    <row r="1" spans="1:10" ht="15.75" thickBot="1" x14ac:dyDescent="0.3">
      <c r="A1" s="1" t="s">
        <v>0</v>
      </c>
      <c r="B1" s="1" t="s">
        <v>4</v>
      </c>
      <c r="C1" s="1" t="s">
        <v>1</v>
      </c>
      <c r="D1" s="6" t="s">
        <v>2</v>
      </c>
      <c r="E1" s="8" t="s">
        <v>5</v>
      </c>
      <c r="F1" s="8" t="s">
        <v>9</v>
      </c>
      <c r="G1" s="8" t="s">
        <v>8</v>
      </c>
      <c r="H1" s="8" t="s">
        <v>3</v>
      </c>
    </row>
    <row r="2" spans="1:10" x14ac:dyDescent="0.25">
      <c r="A2" s="7" t="s">
        <v>6</v>
      </c>
      <c r="B2" s="7" t="s">
        <v>7</v>
      </c>
      <c r="D2" s="5">
        <v>8575.2299999999977</v>
      </c>
    </row>
    <row r="3" spans="1:10" x14ac:dyDescent="0.25">
      <c r="A3" s="2"/>
      <c r="B3" s="2"/>
      <c r="C3" s="2"/>
      <c r="G3" s="3"/>
      <c r="H3" s="4"/>
      <c r="I3" s="3"/>
      <c r="J3" s="3"/>
    </row>
    <row r="4" spans="1:10" x14ac:dyDescent="0.25">
      <c r="G4" s="3"/>
      <c r="H4" s="3"/>
      <c r="I4" s="3"/>
      <c r="J4" s="3"/>
    </row>
    <row r="5" spans="1:10" x14ac:dyDescent="0.25">
      <c r="G5" s="3"/>
      <c r="H5" s="3"/>
      <c r="I5" s="3"/>
      <c r="J5" s="3"/>
    </row>
    <row r="6" spans="1:10" x14ac:dyDescent="0.25">
      <c r="G6" s="3"/>
      <c r="H6" s="3"/>
      <c r="I6" s="3"/>
      <c r="J6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P-102</vt:lpstr>
      <vt:lpstr>102-1</vt:lpstr>
      <vt:lpstr>CxC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2023-05-10T18:09:13Z</dcterms:created>
  <dcterms:modified xsi:type="dcterms:W3CDTF">2023-08-25T14:49:39Z</dcterms:modified>
</cp:coreProperties>
</file>