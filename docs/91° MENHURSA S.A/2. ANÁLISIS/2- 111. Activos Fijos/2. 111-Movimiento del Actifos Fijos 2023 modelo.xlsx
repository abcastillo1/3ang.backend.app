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1 AAA\2023\0. AUDITORÍA MODELO 3ANG 2023\2. ANÁLISIS\2- 111. Activos Fijos\"/>
    </mc:Choice>
  </mc:AlternateContent>
  <xr:revisionPtr revIDLastSave="0" documentId="13_ncr:1_{94D44520-B5B8-4B52-AB0E-683E5C012EAF}" xr6:coauthVersionLast="47" xr6:coauthVersionMax="47" xr10:uidLastSave="{00000000-0000-0000-0000-000000000000}"/>
  <bookViews>
    <workbookView xWindow="-120" yWindow="-120" windowWidth="20730" windowHeight="11040" tabRatio="854" activeTab="1" xr2:uid="{55439ECC-25B4-461B-ABBE-AC15E6A51290}"/>
  </bookViews>
  <sheets>
    <sheet name="111-1" sheetId="27" r:id="rId1"/>
    <sheet name="P-111" sheetId="26" r:id="rId2"/>
    <sheet name="111 Mov. activos fijos" sheetId="2" r:id="rId3"/>
    <sheet name="111 Deprec. Activos" sheetId="5" r:id="rId4"/>
  </sheets>
  <definedNames>
    <definedName name="_xlnm.Print_Area" localSheetId="1">'P-111'!$B$1:$Q$60</definedName>
    <definedName name="_xlnm.Print_Titles" localSheetId="1">'P-111'!$1:$19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27" l="1"/>
  <c r="C18" i="27" s="1"/>
  <c r="D4" i="27"/>
  <c r="L8" i="26"/>
  <c r="H8" i="26"/>
  <c r="C8" i="5"/>
  <c r="C7" i="5"/>
  <c r="J14" i="2"/>
  <c r="J21" i="2" s="1"/>
  <c r="J15" i="2"/>
  <c r="J16" i="2"/>
  <c r="J17" i="2"/>
  <c r="J18" i="2"/>
  <c r="J19" i="2"/>
  <c r="J20" i="2"/>
  <c r="I21" i="2"/>
  <c r="G16" i="5"/>
  <c r="G17" i="5"/>
  <c r="G18" i="5"/>
  <c r="G19" i="5"/>
  <c r="G20" i="5"/>
  <c r="G21" i="5"/>
  <c r="G28" i="5"/>
  <c r="H21" i="2" l="1"/>
  <c r="B29" i="5"/>
  <c r="B28" i="5"/>
  <c r="B27" i="5"/>
  <c r="B26" i="5"/>
  <c r="A29" i="5"/>
  <c r="A28" i="5"/>
  <c r="A27" i="5"/>
  <c r="A26" i="5"/>
  <c r="G29" i="5"/>
  <c r="G27" i="5"/>
  <c r="F20" i="2"/>
  <c r="F14" i="2"/>
  <c r="F15" i="2"/>
  <c r="F16" i="2"/>
  <c r="F17" i="2"/>
  <c r="F18" i="2"/>
  <c r="F19" i="2"/>
  <c r="C29" i="5"/>
  <c r="E29" i="5" s="1"/>
  <c r="C27" i="5"/>
  <c r="E27" i="5" s="1"/>
  <c r="F27" i="5" s="1"/>
  <c r="C28" i="5"/>
  <c r="E28" i="5" s="1"/>
  <c r="F13" i="2" l="1"/>
  <c r="G14" i="5"/>
  <c r="G26" i="5"/>
  <c r="G30" i="5" s="1"/>
  <c r="G38" i="5" s="1"/>
  <c r="G15" i="5"/>
  <c r="H27" i="5"/>
  <c r="F29" i="5"/>
  <c r="H29" i="5" s="1"/>
  <c r="H28" i="5"/>
  <c r="D21" i="2" l="1"/>
  <c r="F7" i="2"/>
  <c r="C26" i="5" l="1"/>
  <c r="E26" i="5" s="1"/>
  <c r="F26" i="5" s="1"/>
  <c r="H26" i="5" s="1"/>
  <c r="H30" i="5" s="1"/>
  <c r="F7" i="5" l="1"/>
  <c r="F8" i="5" s="1"/>
  <c r="C21" i="2" l="1"/>
  <c r="E21" i="2"/>
  <c r="C22" i="5" l="1"/>
  <c r="B22" i="5"/>
  <c r="B21" i="2"/>
  <c r="F21" i="2" s="1"/>
  <c r="E22" i="5"/>
  <c r="D22" i="5"/>
  <c r="F22" i="5"/>
  <c r="A22" i="5"/>
  <c r="A14" i="5"/>
  <c r="B2" i="5"/>
  <c r="G22" i="5" l="1"/>
</calcChain>
</file>

<file path=xl/sharedStrings.xml><?xml version="1.0" encoding="utf-8"?>
<sst xmlns="http://schemas.openxmlformats.org/spreadsheetml/2006/main" count="263" uniqueCount="197">
  <si>
    <t>ELABORADO POR</t>
  </si>
  <si>
    <t>FECHA</t>
  </si>
  <si>
    <t>REVISADO POR</t>
  </si>
  <si>
    <t>CODIGO</t>
  </si>
  <si>
    <t>DETALLE</t>
  </si>
  <si>
    <t>reclasificaciones</t>
  </si>
  <si>
    <t>reversiones anulaciones</t>
  </si>
  <si>
    <t>retiros ventas</t>
  </si>
  <si>
    <t>TOTAL</t>
  </si>
  <si>
    <t>registrar activos fijos totalmente depreciados</t>
  </si>
  <si>
    <t xml:space="preserve">MOVIMIENTO DEL ACTIVO FIJO </t>
  </si>
  <si>
    <t>adiciones - ajustes por NIIF</t>
  </si>
  <si>
    <t>reclacificación</t>
  </si>
  <si>
    <t>Dep. anual</t>
  </si>
  <si>
    <t>Detalle</t>
  </si>
  <si>
    <t>ELABORADO POR:</t>
  </si>
  <si>
    <t>REVISADO POR:</t>
  </si>
  <si>
    <t>MOVIMIENTO DE LA DEPRECIACIÓN</t>
  </si>
  <si>
    <t>VEHICULOS</t>
  </si>
  <si>
    <t>Amorticacion Anual</t>
  </si>
  <si>
    <t>-</t>
  </si>
  <si>
    <t>PLANTAS Y EQUIPOS</t>
  </si>
  <si>
    <t>PRUEBA DE LA DEPRECIACIÓN</t>
  </si>
  <si>
    <t>DIFERENCIA</t>
  </si>
  <si>
    <t>Bajas</t>
  </si>
  <si>
    <t>D</t>
  </si>
  <si>
    <t>SEGÚN AUDITORÍA MENSUAL</t>
  </si>
  <si>
    <t>PROGRAMA DE AUDITORÍA SOBRE LOS ESTADOS FINANCIEROS</t>
  </si>
  <si>
    <t>P-111</t>
  </si>
  <si>
    <t>REF P.T</t>
  </si>
  <si>
    <t xml:space="preserve">CLIENTE:             </t>
  </si>
  <si>
    <t xml:space="preserve">PERIODO:      </t>
  </si>
  <si>
    <t>Preliminar:</t>
  </si>
  <si>
    <t>Final</t>
  </si>
  <si>
    <t>ÁREA</t>
  </si>
  <si>
    <t>PROPIEDAD, PLANTA Y EQUIPO</t>
  </si>
  <si>
    <t>(x)</t>
  </si>
  <si>
    <t>Firma y sello</t>
  </si>
  <si>
    <t xml:space="preserve">ELABORADO POR: </t>
  </si>
  <si>
    <t>FECHA:</t>
  </si>
  <si>
    <t>OBJETIVOS:</t>
  </si>
  <si>
    <t>Verificar su existencia física. Que la empresa posee físicamente y utilice en su propio beneficio los bienes registrados.</t>
  </si>
  <si>
    <t>Que estén registrados al costo de adquisición efectivamente pagado. Verificar. Qué el método de depreciación utilizado sea adecuado y consistente con el utilizado en el ejercicio anterior. Autenticidad de la propiedad. Que los bienes registrados sean propiedad legal de la empresa, comprobados con Documentos</t>
  </si>
  <si>
    <t>ASEVERACIÓN:</t>
  </si>
  <si>
    <t>REVISIÓN</t>
  </si>
  <si>
    <t>TIPO DE PRUEBA</t>
  </si>
  <si>
    <t>E</t>
  </si>
  <si>
    <t>Existencia u ocurrencia</t>
  </si>
  <si>
    <r>
      <rPr>
        <b/>
        <sz val="10"/>
        <color rgb="FFFF0000"/>
        <rFont val="Times New Roman"/>
        <family val="1"/>
      </rPr>
      <t xml:space="preserve">V  </t>
    </r>
    <r>
      <rPr>
        <sz val="10"/>
        <color theme="1"/>
        <rFont val="Times New Roman"/>
        <family val="1"/>
      </rPr>
      <t xml:space="preserve"> Valuacion</t>
    </r>
  </si>
  <si>
    <t>Preliminar</t>
  </si>
  <si>
    <t>Pruebas Suntantivos.</t>
  </si>
  <si>
    <t>I</t>
  </si>
  <si>
    <t>Integridad o totalidad</t>
  </si>
  <si>
    <r>
      <rPr>
        <b/>
        <sz val="10"/>
        <color rgb="FFFF0000"/>
        <rFont val="Times New Roman"/>
        <family val="1"/>
      </rPr>
      <t xml:space="preserve">P   </t>
    </r>
    <r>
      <rPr>
        <sz val="10"/>
        <color theme="1"/>
        <rFont val="Times New Roman"/>
        <family val="1"/>
      </rPr>
      <t xml:space="preserve"> Presentación y divulgación</t>
    </r>
  </si>
  <si>
    <t>. Pruebas Suntantivas de Detalle.</t>
  </si>
  <si>
    <t>Derechos y obligaciones</t>
  </si>
  <si>
    <r>
      <rPr>
        <b/>
        <sz val="10"/>
        <color rgb="FFFF0000"/>
        <rFont val="Times New Roman"/>
        <family val="1"/>
      </rPr>
      <t>P1</t>
    </r>
    <r>
      <rPr>
        <sz val="10"/>
        <color theme="1"/>
        <rFont val="Times New Roman"/>
        <family val="1"/>
      </rPr>
      <t xml:space="preserve">   Período</t>
    </r>
  </si>
  <si>
    <t>Prel y Final</t>
  </si>
  <si>
    <t>A</t>
  </si>
  <si>
    <t>. Pruebas Suntantivas Analíticas</t>
  </si>
  <si>
    <r>
      <rPr>
        <b/>
        <sz val="10"/>
        <color rgb="FFFF0000"/>
        <rFont val="Times New Roman"/>
        <family val="1"/>
      </rPr>
      <t xml:space="preserve">C  </t>
    </r>
    <r>
      <rPr>
        <sz val="10"/>
        <color theme="1"/>
        <rFont val="Times New Roman"/>
        <family val="1"/>
      </rPr>
      <t xml:space="preserve"> Clasificación</t>
    </r>
  </si>
  <si>
    <t>C</t>
  </si>
  <si>
    <t>Pruebas de Control o Cumplimiento.</t>
  </si>
  <si>
    <t>PROCEDIMIENTOS</t>
  </si>
  <si>
    <t>ASEVERACIÓN</t>
  </si>
  <si>
    <t>REFERENCIA P. T</t>
  </si>
  <si>
    <t>PRUEBAS</t>
  </si>
  <si>
    <t>V</t>
  </si>
  <si>
    <t>P</t>
  </si>
  <si>
    <t>P1</t>
  </si>
  <si>
    <t xml:space="preserve">Realizar la Sumaria </t>
  </si>
  <si>
    <t>Realizar reporte diario</t>
  </si>
  <si>
    <t>111-</t>
  </si>
  <si>
    <t>ACTIVO  FIJO</t>
  </si>
  <si>
    <t>Verificar que los saldos iniciales de las cuentas del mayor auxiliar crucen con las cifras auditadas en el año anterior.</t>
  </si>
  <si>
    <t>Prepare un resumen del activo fijo, con los saldos de la depreciación acumulada con aquellos saldos de inicio del período, resumen que reflejará las adiciones y disminuciones existentes en el período de revisión.</t>
  </si>
  <si>
    <t>Realizar los respectivos cálculos de la depreciación y compare con los saldos presentados en el balance general.</t>
  </si>
  <si>
    <t>Examinar las autorizaciones para las compras y ventas o retiros de propiedad y equipo:</t>
  </si>
  <si>
    <t>. Actas de juntas</t>
  </si>
  <si>
    <t>. Asientos de diarios</t>
  </si>
  <si>
    <t>. Facturas y documentos soportes</t>
  </si>
  <si>
    <t>Prepare un resumen del activo fijo, reconciliando el costo y los saldos de la depreciación acumulada con aquellos saldos de inicio del período, resumen que reflejará las adiciones y disminuciones existentes en el período de revisión.</t>
  </si>
  <si>
    <t>Revisar los gastos de depreciación, para determinar la razonabilidad tanto del cargo en el período como su correspondiente depreciación acumulada.</t>
  </si>
  <si>
    <t>Durante nuestra visita final, preguntar si existen propiedades, planta y equipo que estén prendados o dados en garantía.  De haberlo, haga referencia crezada con el área de obligaciones.</t>
  </si>
  <si>
    <t>Determine la existencia de propiedades, planta y equipo que estén inactivas, totalmente depreciadas o que no estén siendo utilizadas en las operaciones de la compañía.</t>
  </si>
  <si>
    <t>Si se considera necesario, efectuar una inspección física del activo fijo para cerciorarse si un parte considerable de la planta y equipo esta permanentemente inútil, ha sido abandonado, o que no existe.</t>
  </si>
  <si>
    <t>Actualice el memorándum que describe el control interno existente en esta sección y concluya si es satisfactorio o no.</t>
  </si>
  <si>
    <t>Marcar con referencia de auditoria el reporte de Activos Fijos que es proporcionada por la compañía a la firma auditora.</t>
  </si>
  <si>
    <t>Examine las facturas del vendedor, documentos de importación y otros que amparen el costo de compra o fabricación. Obtenga fotocopia de las facturas.</t>
  </si>
  <si>
    <t>Asegúrese de que el valor de costo, la depreciación acumulada y la correspondiente utilidad o pérdida fueron adecuadamente contabilizados.</t>
  </si>
  <si>
    <t>Haga un recorrido de inspección a la planta para darse cuenta de abandonos. Asegúrese de que los abandonos observados se registraron en libros.</t>
  </si>
  <si>
    <t>CONCLUSIÓN DEL ÁREA</t>
  </si>
  <si>
    <t>111-1</t>
  </si>
  <si>
    <t>REPORTE DIARIO DE TRABAJO</t>
  </si>
  <si>
    <t>Final:</t>
  </si>
  <si>
    <t>GUIA:</t>
  </si>
  <si>
    <t xml:space="preserve">Integro/Reintegro </t>
  </si>
  <si>
    <t>EMPRESA:</t>
  </si>
  <si>
    <t>APROBADO POR:</t>
  </si>
  <si>
    <t>PERIODO :</t>
  </si>
  <si>
    <t>ÁREA:</t>
  </si>
  <si>
    <t>(111) Activos Fijos</t>
  </si>
  <si>
    <t>MONTO DEL ÁREA:</t>
  </si>
  <si>
    <t>CUENTA:</t>
  </si>
  <si>
    <t>CÓDIGO</t>
  </si>
  <si>
    <t>DESCRIPCIÓN</t>
  </si>
  <si>
    <t>VALOR</t>
  </si>
  <si>
    <t>MONTO DE CUENTA:</t>
  </si>
  <si>
    <t>ALCANCE:</t>
  </si>
  <si>
    <t>MATERIALIDAD:</t>
  </si>
  <si>
    <t>RIESGO:</t>
  </si>
  <si>
    <t>ALTO:</t>
  </si>
  <si>
    <t>MEDIO:</t>
  </si>
  <si>
    <t>(X)</t>
  </si>
  <si>
    <t>BAJO:</t>
  </si>
  <si>
    <t>TIPO DE PRUEBA:</t>
  </si>
  <si>
    <t>Análisis, Cumplimiento y Sustantivas</t>
  </si>
  <si>
    <t>Integridad y Exactitud</t>
  </si>
  <si>
    <t>TIEMPO ESTIMADO:</t>
  </si>
  <si>
    <t>HORAS</t>
  </si>
  <si>
    <t>¿¿¿</t>
  </si>
  <si>
    <t>NARRATIVA DE LA PRUEBA</t>
  </si>
  <si>
    <t>Proporcionar la evidencia objetiva de que las cantidades incluidas en el balance general son validas, genuinas y dignas de confianza y no simples estimaciones optimistas o conjeturas imaginarias.</t>
  </si>
  <si>
    <t xml:space="preserve">NIA </t>
  </si>
  <si>
    <t>¿¿</t>
  </si>
  <si>
    <t>NOMBRE NIA</t>
  </si>
  <si>
    <t>NIA PARRAFO:</t>
  </si>
  <si>
    <t>PYMES, NIIF NIC:</t>
  </si>
  <si>
    <t>NIIF  PYMES:</t>
  </si>
  <si>
    <t>NIIF FULL:</t>
  </si>
  <si>
    <t>NORMA CONTAB.</t>
  </si>
  <si>
    <t>NIIF PYMES</t>
  </si>
  <si>
    <t>DETALLE SECCIÓN:</t>
  </si>
  <si>
    <t>DEPRECIACION Y AMORTIZACION</t>
  </si>
  <si>
    <t>adiciones compra vehiculo</t>
  </si>
  <si>
    <t>retiros venta vehiculo</t>
  </si>
  <si>
    <t>PAPELES DE TRABAJO LWG AUDITORES CIA. LTDA.</t>
  </si>
  <si>
    <t>DEP A AGOSTO</t>
  </si>
  <si>
    <t>MUEBLES Y ENSERES</t>
  </si>
  <si>
    <t>EQUIPO DE COMPUTACION</t>
  </si>
  <si>
    <t>Depreciacion Deducible</t>
  </si>
  <si>
    <t>Depreciacion No Deducible</t>
  </si>
  <si>
    <t>Dep. Según PLAN B MAYOR</t>
  </si>
  <si>
    <t>SKY BUILDING OFICINA 1026</t>
  </si>
  <si>
    <t>PARQUEO P1-05</t>
  </si>
  <si>
    <t>PROPIEDADES DE INVERSION</t>
  </si>
  <si>
    <t>EMPRESA *****</t>
  </si>
  <si>
    <t>A/T 31 DE DICIEMBRE DE 2023</t>
  </si>
  <si>
    <t>K.B</t>
  </si>
  <si>
    <t>E.P.</t>
  </si>
  <si>
    <t>saldo iniciales 31 de diciembre 2022</t>
  </si>
  <si>
    <t>Saldo Final 31 De Diciembre del 2023</t>
  </si>
  <si>
    <t>Del 01 de enero al 31 de diciembre del 2023</t>
  </si>
  <si>
    <t>3 ANG ADMINISTRACIÓN DE NEGOCIOS GERENCIALES CÍA LTDA.</t>
  </si>
  <si>
    <t>ABC</t>
  </si>
  <si>
    <t>Desde el 01 de enero al 31 de Diciembre del 2023</t>
  </si>
  <si>
    <t>Aprobado</t>
  </si>
  <si>
    <t>Elizabeth Palacios</t>
  </si>
  <si>
    <t>R.C</t>
  </si>
  <si>
    <t>Roy Cisneros</t>
  </si>
  <si>
    <t>REFERENCIAS</t>
  </si>
  <si>
    <t>✓</t>
  </si>
  <si>
    <t>Solicite a la empresa, prepare una relación de altas y bajas de activo fijo en el formato estándar.</t>
  </si>
  <si>
    <t>Examine la autorización para la venta o retiro. Actas, soportes</t>
  </si>
  <si>
    <r>
      <t xml:space="preserve">Actualice los activos fijos en el sistema de cálculos fiscales y líguelos vs. la balanza. </t>
    </r>
    <r>
      <rPr>
        <b/>
        <sz val="12"/>
        <color theme="1"/>
        <rFont val="Times New Roman"/>
        <family val="1"/>
      </rPr>
      <t>(CUADRO ANEXO ICT)</t>
    </r>
  </si>
  <si>
    <t>ACTIVOS BIOLOGICOS</t>
  </si>
  <si>
    <t>Obtenga un conocimiento de todos los aspectos circundantes al proceso agrícola, desde la siembra de la planta de rosas hasta la cosecha del producto agrícola</t>
  </si>
  <si>
    <t>Evalué los controles internos adaptados para esta área.</t>
  </si>
  <si>
    <t>Compruebe que se controlan en cuentas adecuadas, las nuevas plantas  sembradas y/o injertadas, esto es en cuentas que denoten el proceso vegetativo o de crecimiento de las mismas.</t>
  </si>
  <si>
    <t>Selectivamente compruebe que las plantas que han dejado de estar en proceso vegetativo hayan sido reclasificadas a producción en cuentas contables debidamente identificables.</t>
  </si>
  <si>
    <t>Compruebe que los montos de plantas en proceso vegetativo se hayan acumulado en base a un sistema de costos agrícolas adecuado.</t>
  </si>
  <si>
    <t xml:space="preserve">Verifique que los costos derivados de los invernaderos y plásticos vía depreciación, se hayan incorporado al costo inicial de los activos en proceso vegetativo. </t>
  </si>
  <si>
    <t xml:space="preserve">Evaluar con la administración el procedimiento mantenido para el registro de contratos de regalías y verificar selectivamente el registro de
estas partidas, con el propósito de determinar razonabilidad o en su caso
el monto de ajuste por estos conceptos. </t>
  </si>
  <si>
    <r>
      <t xml:space="preserve">Para el rubro de plantas en proceso vegetativo, verificar si la valoración corresponde a un valor razonable soportado éste en  Información disponible de mercados activos o de alguna otra metodología permitida por la </t>
    </r>
    <r>
      <rPr>
        <i/>
        <u/>
        <sz val="12"/>
        <color theme="1"/>
        <rFont val="Times New Roman"/>
        <family val="1"/>
      </rPr>
      <t>SECCIÓN 34 O NIC 41. según el caso</t>
    </r>
    <r>
      <rPr>
        <sz val="12"/>
        <color theme="1"/>
        <rFont val="Times New Roman"/>
        <family val="1"/>
      </rPr>
      <t xml:space="preserve"> De no ser factible la aplicación de valor razonable, comprobar que la valoración se base en el costo histórico. </t>
    </r>
  </si>
  <si>
    <t xml:space="preserve">Verificar los parámetros considerados para la estimación de vidas útiles de los activos biológicos plantas con el técnico de la compañía, con la finalidad de lograr determinar su razonabilidad. </t>
  </si>
  <si>
    <t>Para las plantas en producción que se hayan determinado erradicarlas o darlas de baja, evaluar con la administración las causas o las razones para tomar estas decisiones. Verificar el adecuado registro y los sustentos correspondientes para tornar en deducibles estos conceptos.</t>
  </si>
  <si>
    <t>Solicite a la empresa complete la relación de altas y bajas de activo fijo en el formato estándar y efectúe el trabajo relativo a los puntos 2 a 6 entre la fecha de la preliminar y el cierre.</t>
  </si>
  <si>
    <t>Revise por cálculos globales la corrección de la depreciación. Compruebe la suficiencia de la depreciación acumulada si se trata de una primera auditoria. Líguela vs. el cálculo correspondiente del sistema de cálculos fiscales.</t>
  </si>
  <si>
    <t>Pedir el avaluo del activo biológico</t>
  </si>
  <si>
    <t>Concluya en la sumaria de acuerdo con los objetivos de la sección.</t>
  </si>
  <si>
    <t>3 A.N.G ADMINISTRACIÓN DE NEGOCIOS GERENCIALES CÍA. LTDA.</t>
  </si>
  <si>
    <t>XXXXX</t>
  </si>
  <si>
    <t>K.B.</t>
  </si>
  <si>
    <t>R.C.</t>
  </si>
  <si>
    <t>Desde el 01 de Enero 2023 al 31 de Diciembre del 2023</t>
  </si>
  <si>
    <t>1.2.1.2</t>
  </si>
  <si>
    <t>Propiedad Planta y Equipos</t>
  </si>
  <si>
    <t>Planificación de la auditoría de estados financieros.</t>
  </si>
  <si>
    <t>El NIA es la normativa sobre la responsabilidad del auditor, de planificar la auditoría de estados financieros.Esta NIA está redactada en el contexto de auditorías recurrentes.Las consideraciones adicionales en un encargo de auditoría inicial figuran separadamente.</t>
  </si>
  <si>
    <t>Sección No. 17 – Propiedades, Planta y Equipo</t>
  </si>
  <si>
    <t>¿¿¿¿</t>
  </si>
  <si>
    <t>17.1 Esta sección se aplicará a la contabilidad de las propiedades, planta y equipo, así como a las propiedades de inversión cuyo valor razonable no se pueda medir con fiabilidad sin costo o esfuerzo desproporcionado. La Sección 16 Propiedades de Inversión se aplicará a propiedades de inversión cuyo valor razonable se puede medir con fiabilidad sin costo o esfuerzo desproporcionado.</t>
  </si>
  <si>
    <t>NIC 16 - Propiedades, Planta y Equipo</t>
  </si>
  <si>
    <t>NIIF COMPLETAS</t>
  </si>
  <si>
    <t>¿¿¿¿¿¿</t>
  </si>
  <si>
    <t>DETALLE NIIF:</t>
  </si>
  <si>
    <t xml:space="preserve">El objetivo de esta Norma es prescribir el tratamiento contable de propiedades, planta y equipo, de forma que los usuarios de los estados financieros puedan conocer la información acerca de la inversión que la entidad tiene en sus propiedades, planta y equipo, así como los cambios que se hayan producido en dicha inversión. Los principales problemas que presenta el reconocimiento contable de propiedades, planta y equipo son la contabilización de los activos, la determinación de su importe en libros y los cargos por depreciación y pérdidas por deterioro que deben reconocerse con relación a los mismos.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</si>
</sst>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0\ ;\(\ #,##0.00\)"/>
    <numFmt numFmtId="166" formatCode="\ #,##0.00\ ;\ \(#,##0.00\)"/>
    <numFmt numFmtId="167" formatCode="#,##0.00;[Red]#,##0.00"/>
    <numFmt numFmtId="169" formatCode="_-* #,##0.00_-;\-* #,##0.00_-;_-* &quot;-&quot;??_-;_-@_-"/>
    <numFmt numFmtId="170" formatCode="_(&quot;$&quot;\ * #,##0.00_);_(&quot;$&quot;\ * \(#,##0.00\);_(&quot;$&quot;\ * &quot;-&quot;??_);_(@_)"/>
  </numFmts>
  <fonts count="50"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11"/>
      <color theme="1"/>
      <name val="Calibri"/>
      <family val="2"/>
      <scheme val="minor"/>
    </font>
    <font>
      <sz val="10"/>
      <name val="Arial"/>
      <family val="2"/>
    </font>
    <font>
      <sz val="10"/>
      <name val="Cambria"/>
      <family val="1"/>
      <scheme val="major"/>
    </font>
    <font>
      <b/>
      <sz val="11"/>
      <name val="Cambria"/>
      <family val="1"/>
      <scheme val="major"/>
    </font>
    <font>
      <sz val="12"/>
      <name val="Cambria"/>
      <family val="1"/>
      <scheme val="major"/>
    </font>
    <font>
      <b/>
      <sz val="10"/>
      <name val="Cambria"/>
      <family val="1"/>
      <scheme val="major"/>
    </font>
    <font>
      <b/>
      <sz val="14"/>
      <name val="Cambria"/>
      <family val="1"/>
      <scheme val="major"/>
    </font>
    <font>
      <b/>
      <sz val="12"/>
      <name val="Cambria"/>
      <family val="1"/>
      <scheme val="major"/>
    </font>
    <font>
      <sz val="11"/>
      <name val="Cambria"/>
      <family val="1"/>
      <scheme val="major"/>
    </font>
    <font>
      <b/>
      <sz val="8"/>
      <name val="Cambria"/>
      <family val="1"/>
      <scheme val="major"/>
    </font>
    <font>
      <sz val="8"/>
      <name val="Cambria"/>
      <family val="1"/>
      <scheme val="major"/>
    </font>
    <font>
      <b/>
      <sz val="8"/>
      <color rgb="FF000000"/>
      <name val="Cambria"/>
      <family val="1"/>
      <scheme val="major"/>
    </font>
    <font>
      <sz val="14"/>
      <name val="Cambria"/>
      <family val="1"/>
      <scheme val="major"/>
    </font>
    <font>
      <sz val="10"/>
      <color theme="1"/>
      <name val="Cambria"/>
      <family val="1"/>
      <scheme val="major"/>
    </font>
    <font>
      <sz val="12"/>
      <color theme="1"/>
      <name val="Calibri"/>
      <family val="2"/>
      <scheme val="minor"/>
    </font>
    <font>
      <b/>
      <sz val="16"/>
      <color rgb="FF002060"/>
      <name val="Cambria"/>
      <family val="2"/>
      <scheme val="major"/>
    </font>
    <font>
      <b/>
      <sz val="30"/>
      <color rgb="FFFF0000"/>
      <name val="Arial Black"/>
      <family val="2"/>
    </font>
    <font>
      <b/>
      <sz val="14"/>
      <color rgb="FF002060"/>
      <name val="Cambria"/>
      <family val="2"/>
      <scheme val="major"/>
    </font>
    <font>
      <sz val="12"/>
      <color theme="1"/>
      <name val="Times New Roman"/>
      <family val="1"/>
    </font>
    <font>
      <b/>
      <sz val="12"/>
      <name val="Times New Roman"/>
      <family val="1"/>
    </font>
    <font>
      <b/>
      <sz val="12"/>
      <color theme="1"/>
      <name val="Times New Roman"/>
      <family val="1"/>
    </font>
    <font>
      <b/>
      <sz val="12"/>
      <color rgb="FFFF0000"/>
      <name val="Times New Roman"/>
      <family val="1"/>
    </font>
    <font>
      <i/>
      <sz val="10"/>
      <color theme="1"/>
      <name val="Cambria"/>
      <family val="2"/>
      <scheme val="major"/>
    </font>
    <font>
      <sz val="11"/>
      <color theme="1"/>
      <name val="Times New Roman"/>
      <family val="1"/>
    </font>
    <font>
      <sz val="10"/>
      <color theme="1"/>
      <name val="Times New Roman"/>
      <family val="1"/>
    </font>
    <font>
      <b/>
      <u/>
      <sz val="10"/>
      <color rgb="FFFF0000"/>
      <name val="Times New Roman"/>
      <family val="1"/>
    </font>
    <font>
      <b/>
      <sz val="10"/>
      <color rgb="FFFF0000"/>
      <name val="Times New Roman"/>
      <family val="1"/>
    </font>
    <font>
      <b/>
      <sz val="10"/>
      <color theme="1"/>
      <name val="Times New Roman"/>
      <family val="1"/>
    </font>
    <font>
      <sz val="10"/>
      <name val="Times New Roman"/>
      <family val="1"/>
    </font>
    <font>
      <b/>
      <u/>
      <sz val="10"/>
      <name val="Times New Roman"/>
      <family val="1"/>
    </font>
    <font>
      <b/>
      <sz val="11"/>
      <color theme="1"/>
      <name val="Times New Roman"/>
      <family val="1"/>
    </font>
    <font>
      <sz val="12"/>
      <name val="Times New Roman"/>
      <family val="1"/>
    </font>
    <font>
      <b/>
      <sz val="15"/>
      <name val="Times New Roman"/>
      <family val="1"/>
    </font>
    <font>
      <b/>
      <sz val="20"/>
      <color rgb="FFFF0000"/>
      <name val="Times New Roman"/>
      <family val="1"/>
    </font>
    <font>
      <sz val="12"/>
      <color indexed="62"/>
      <name val="Times New Roman"/>
      <family val="1"/>
    </font>
    <font>
      <b/>
      <u/>
      <sz val="12"/>
      <name val="Times New Roman"/>
      <family val="1"/>
    </font>
    <font>
      <sz val="12"/>
      <color rgb="FFFF0000"/>
      <name val="Times New Roman"/>
      <family val="1"/>
    </font>
    <font>
      <b/>
      <sz val="10"/>
      <color rgb="FFFF0000"/>
      <name val="Cambria"/>
      <family val="1"/>
      <scheme val="major"/>
    </font>
    <font>
      <b/>
      <sz val="10"/>
      <name val="Arial"/>
      <family val="2"/>
    </font>
    <font>
      <b/>
      <sz val="9"/>
      <color rgb="FF000000"/>
      <name val="Cambria"/>
      <family val="1"/>
      <scheme val="major"/>
    </font>
    <font>
      <b/>
      <sz val="9"/>
      <name val="Cambria"/>
      <family val="1"/>
      <scheme val="major"/>
    </font>
    <font>
      <b/>
      <sz val="10"/>
      <color theme="1"/>
      <name val="Calibri"/>
      <family val="2"/>
      <scheme val="minor"/>
    </font>
    <font>
      <sz val="11"/>
      <color rgb="FFFF0000"/>
      <name val="Arial"/>
      <family val="2"/>
    </font>
    <font>
      <i/>
      <u/>
      <sz val="12"/>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rgb="FF00FF00"/>
        <bgColor indexed="64"/>
      </patternFill>
    </fill>
  </fills>
  <borders count="57">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top style="thin">
        <color indexed="64"/>
      </top>
      <bottom style="double">
        <color indexed="64"/>
      </bottom>
      <diagonal/>
    </border>
    <border>
      <left style="medium">
        <color indexed="64"/>
      </left>
      <right/>
      <top style="thin">
        <color indexed="64"/>
      </top>
      <bottom style="medium">
        <color indexed="64"/>
      </bottom>
      <diagonal/>
    </border>
  </borders>
  <cellStyleXfs count="16">
    <xf numFmtId="0" fontId="0" fillId="0" borderId="0"/>
    <xf numFmtId="43" fontId="3" fillId="0" borderId="0" applyFont="0" applyFill="0" applyBorder="0" applyAlignment="0" applyProtection="0"/>
    <xf numFmtId="0" fontId="6" fillId="0" borderId="0"/>
    <xf numFmtId="0" fontId="5" fillId="0" borderId="0"/>
    <xf numFmtId="0" fontId="6" fillId="0" borderId="0"/>
    <xf numFmtId="0" fontId="3" fillId="0" borderId="0"/>
    <xf numFmtId="165" fontId="3" fillId="0" borderId="0" applyFont="0" applyFill="0" applyBorder="0" applyAlignment="0" applyProtection="0"/>
    <xf numFmtId="43" fontId="7" fillId="0" borderId="0" applyFont="0" applyFill="0" applyBorder="0" applyAlignment="0" applyProtection="0"/>
    <xf numFmtId="0" fontId="2" fillId="0" borderId="0"/>
    <xf numFmtId="164" fontId="2" fillId="0" borderId="0" applyFont="0" applyFill="0" applyBorder="0" applyAlignment="0" applyProtection="0"/>
    <xf numFmtId="0" fontId="3" fillId="0" borderId="0"/>
    <xf numFmtId="9" fontId="3" fillId="0" borderId="0" applyFont="0" applyFill="0" applyBorder="0" applyAlignment="0" applyProtection="0"/>
    <xf numFmtId="0" fontId="1" fillId="0" borderId="0"/>
    <xf numFmtId="164"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329">
    <xf numFmtId="0" fontId="0" fillId="0" borderId="0" xfId="0"/>
    <xf numFmtId="0" fontId="8" fillId="0" borderId="0" xfId="0" applyFont="1" applyBorder="1"/>
    <xf numFmtId="0" fontId="12" fillId="0" borderId="0" xfId="0" applyFont="1" applyBorder="1" applyAlignment="1">
      <alignment horizontal="left"/>
    </xf>
    <xf numFmtId="0" fontId="8" fillId="0" borderId="0" xfId="0" applyFont="1"/>
    <xf numFmtId="0" fontId="12" fillId="0" borderId="0" xfId="0" applyFont="1" applyBorder="1" applyAlignment="1"/>
    <xf numFmtId="0" fontId="12" fillId="0" borderId="0" xfId="0" applyFont="1" applyBorder="1" applyAlignment="1">
      <alignment horizontal="center"/>
    </xf>
    <xf numFmtId="0" fontId="8" fillId="0" borderId="7" xfId="0" applyFont="1" applyBorder="1"/>
    <xf numFmtId="0" fontId="8" fillId="0" borderId="3" xfId="0" applyFont="1" applyBorder="1"/>
    <xf numFmtId="0" fontId="13" fillId="0" borderId="3" xfId="0" applyFont="1" applyBorder="1"/>
    <xf numFmtId="0" fontId="11" fillId="0" borderId="0" xfId="0" applyFont="1" applyBorder="1"/>
    <xf numFmtId="0" fontId="10" fillId="0" borderId="0" xfId="0" applyFont="1" applyBorder="1"/>
    <xf numFmtId="0" fontId="8" fillId="0" borderId="4" xfId="0" applyFont="1" applyBorder="1"/>
    <xf numFmtId="0" fontId="8" fillId="0" borderId="1" xfId="0" applyFont="1" applyBorder="1"/>
    <xf numFmtId="0" fontId="8" fillId="0" borderId="8" xfId="0" applyFont="1" applyBorder="1"/>
    <xf numFmtId="0" fontId="14" fillId="0" borderId="0" xfId="0" applyFont="1"/>
    <xf numFmtId="0" fontId="15" fillId="0" borderId="6" xfId="0" applyFont="1" applyBorder="1" applyAlignment="1">
      <alignment vertical="center"/>
    </xf>
    <xf numFmtId="1" fontId="15" fillId="0" borderId="6" xfId="0" applyNumberFormat="1" applyFont="1" applyBorder="1" applyAlignment="1">
      <alignment horizontal="center" vertical="center"/>
    </xf>
    <xf numFmtId="0" fontId="16" fillId="0" borderId="0" xfId="0" applyFont="1"/>
    <xf numFmtId="4" fontId="16" fillId="0" borderId="0" xfId="0" applyNumberFormat="1" applyFont="1" applyBorder="1"/>
    <xf numFmtId="0" fontId="11" fillId="0" borderId="0" xfId="0" applyFont="1" applyBorder="1" applyAlignment="1">
      <alignment horizontal="center" vertical="center"/>
    </xf>
    <xf numFmtId="4" fontId="8" fillId="0" borderId="0" xfId="0" applyNumberFormat="1" applyFont="1" applyBorder="1"/>
    <xf numFmtId="166" fontId="8" fillId="0" borderId="0" xfId="0" applyNumberFormat="1" applyFont="1" applyBorder="1"/>
    <xf numFmtId="0" fontId="18" fillId="0" borderId="0" xfId="0" applyFont="1" applyBorder="1"/>
    <xf numFmtId="0" fontId="18" fillId="0" borderId="0" xfId="0" applyFont="1"/>
    <xf numFmtId="0" fontId="18" fillId="0" borderId="3" xfId="0" applyFont="1" applyBorder="1"/>
    <xf numFmtId="0" fontId="15" fillId="0" borderId="35" xfId="0" applyFont="1" applyBorder="1" applyAlignment="1">
      <alignment horizontal="center" vertical="center"/>
    </xf>
    <xf numFmtId="0" fontId="17" fillId="0" borderId="23" xfId="0" applyFont="1" applyBorder="1" applyAlignment="1">
      <alignment horizontal="center" vertical="center" wrapText="1"/>
    </xf>
    <xf numFmtId="0" fontId="15" fillId="0" borderId="24" xfId="0" applyFont="1" applyBorder="1" applyAlignment="1">
      <alignment horizontal="center" vertical="center" wrapText="1"/>
    </xf>
    <xf numFmtId="4" fontId="8" fillId="0" borderId="38" xfId="0" applyNumberFormat="1" applyFont="1" applyBorder="1"/>
    <xf numFmtId="43" fontId="8" fillId="0" borderId="11" xfId="1" applyFont="1" applyFill="1" applyBorder="1"/>
    <xf numFmtId="43" fontId="8" fillId="0" borderId="11" xfId="1" applyFont="1" applyBorder="1"/>
    <xf numFmtId="0" fontId="8" fillId="0" borderId="31" xfId="0" applyFont="1" applyBorder="1"/>
    <xf numFmtId="43" fontId="8" fillId="0" borderId="0" xfId="1" applyFont="1"/>
    <xf numFmtId="0" fontId="8" fillId="0" borderId="11" xfId="0" applyFont="1" applyBorder="1"/>
    <xf numFmtId="43" fontId="8" fillId="0" borderId="13" xfId="1" applyFont="1" applyBorder="1"/>
    <xf numFmtId="167" fontId="11" fillId="0" borderId="19" xfId="1" applyNumberFormat="1" applyFont="1" applyBorder="1"/>
    <xf numFmtId="167" fontId="11" fillId="0" borderId="5" xfId="1" applyNumberFormat="1" applyFont="1" applyBorder="1"/>
    <xf numFmtId="167" fontId="11" fillId="0" borderId="6" xfId="1" applyNumberFormat="1" applyFont="1" applyBorder="1"/>
    <xf numFmtId="167" fontId="11" fillId="0" borderId="14" xfId="0" applyNumberFormat="1" applyFont="1" applyBorder="1"/>
    <xf numFmtId="167" fontId="11" fillId="0" borderId="6" xfId="0" applyNumberFormat="1" applyFont="1" applyBorder="1"/>
    <xf numFmtId="4" fontId="8" fillId="0" borderId="25" xfId="0" applyNumberFormat="1" applyFont="1" applyBorder="1"/>
    <xf numFmtId="0" fontId="8" fillId="0" borderId="17" xfId="0" applyFont="1" applyBorder="1"/>
    <xf numFmtId="0" fontId="8" fillId="0" borderId="18" xfId="0" applyFont="1" applyBorder="1"/>
    <xf numFmtId="0" fontId="13" fillId="0" borderId="1" xfId="0" applyFont="1" applyBorder="1" applyAlignment="1">
      <alignment horizontal="center"/>
    </xf>
    <xf numFmtId="14" fontId="13" fillId="0" borderId="1" xfId="0" applyNumberFormat="1" applyFont="1" applyBorder="1" applyAlignment="1">
      <alignment horizontal="center"/>
    </xf>
    <xf numFmtId="0" fontId="10" fillId="0" borderId="1" xfId="0" applyFont="1" applyBorder="1"/>
    <xf numFmtId="0" fontId="11" fillId="0" borderId="0" xfId="0" applyFont="1" applyAlignment="1">
      <alignment horizontal="center"/>
    </xf>
    <xf numFmtId="0" fontId="11" fillId="0" borderId="19" xfId="0" applyFont="1" applyBorder="1" applyAlignment="1">
      <alignment horizontal="center" vertical="center"/>
    </xf>
    <xf numFmtId="1" fontId="11" fillId="0" borderId="5" xfId="0" applyNumberFormat="1" applyFont="1" applyBorder="1" applyAlignment="1">
      <alignment horizontal="center" vertical="center"/>
    </xf>
    <xf numFmtId="1" fontId="9" fillId="0" borderId="5" xfId="0" applyNumberFormat="1" applyFont="1" applyBorder="1" applyAlignment="1">
      <alignment horizontal="center" vertical="center"/>
    </xf>
    <xf numFmtId="1" fontId="11" fillId="0" borderId="10" xfId="0" applyNumberFormat="1" applyFont="1" applyBorder="1" applyAlignment="1">
      <alignment horizontal="center" vertical="center" wrapText="1"/>
    </xf>
    <xf numFmtId="1" fontId="11" fillId="0" borderId="5" xfId="0" applyNumberFormat="1" applyFont="1" applyBorder="1" applyAlignment="1">
      <alignment horizontal="center" vertical="center" wrapText="1"/>
    </xf>
    <xf numFmtId="0" fontId="11" fillId="0" borderId="20" xfId="0" applyFont="1" applyBorder="1" applyAlignment="1">
      <alignment horizontal="center" vertical="center" wrapText="1"/>
    </xf>
    <xf numFmtId="0" fontId="11" fillId="0" borderId="4" xfId="0" applyFont="1" applyBorder="1" applyAlignment="1">
      <alignment horizontal="center" vertical="center"/>
    </xf>
    <xf numFmtId="0" fontId="11" fillId="0" borderId="24" xfId="0" applyFont="1" applyBorder="1" applyAlignment="1">
      <alignment horizontal="center" vertical="center" wrapText="1"/>
    </xf>
    <xf numFmtId="4" fontId="8" fillId="0" borderId="34" xfId="0" applyNumberFormat="1" applyFont="1" applyBorder="1" applyAlignment="1">
      <alignment wrapText="1"/>
    </xf>
    <xf numFmtId="166" fontId="8" fillId="0" borderId="28" xfId="0" applyNumberFormat="1" applyFont="1" applyBorder="1"/>
    <xf numFmtId="4" fontId="8" fillId="0" borderId="0" xfId="0" applyNumberFormat="1" applyFont="1"/>
    <xf numFmtId="39" fontId="8" fillId="0" borderId="11" xfId="0" applyNumberFormat="1" applyFont="1" applyBorder="1"/>
    <xf numFmtId="39" fontId="8" fillId="0" borderId="27" xfId="1" applyNumberFormat="1" applyFont="1" applyBorder="1"/>
    <xf numFmtId="39" fontId="8" fillId="0" borderId="11" xfId="1" applyNumberFormat="1" applyFont="1" applyBorder="1"/>
    <xf numFmtId="166" fontId="8" fillId="0" borderId="29" xfId="0" applyNumberFormat="1" applyFont="1" applyBorder="1"/>
    <xf numFmtId="39" fontId="8" fillId="2" borderId="11" xfId="1" applyNumberFormat="1" applyFont="1" applyFill="1" applyBorder="1"/>
    <xf numFmtId="39" fontId="8" fillId="0" borderId="0" xfId="0" applyNumberFormat="1" applyFont="1"/>
    <xf numFmtId="0" fontId="11" fillId="0" borderId="17" xfId="0" applyFont="1" applyBorder="1"/>
    <xf numFmtId="39" fontId="11" fillId="0" borderId="11" xfId="1" applyNumberFormat="1" applyFont="1" applyBorder="1"/>
    <xf numFmtId="166" fontId="8" fillId="0" borderId="11" xfId="0" applyNumberFormat="1" applyFont="1" applyBorder="1"/>
    <xf numFmtId="0" fontId="8" fillId="0" borderId="13" xfId="0" applyFont="1" applyBorder="1"/>
    <xf numFmtId="166" fontId="8" fillId="0" borderId="13" xfId="0" applyNumberFormat="1" applyFont="1" applyBorder="1"/>
    <xf numFmtId="166" fontId="8" fillId="0" borderId="33" xfId="0" applyNumberFormat="1" applyFont="1" applyBorder="1"/>
    <xf numFmtId="0" fontId="11" fillId="0" borderId="19" xfId="0" applyFont="1" applyBorder="1"/>
    <xf numFmtId="165" fontId="9" fillId="2" borderId="5" xfId="1" applyNumberFormat="1" applyFont="1" applyFill="1" applyBorder="1"/>
    <xf numFmtId="165" fontId="9" fillId="2" borderId="30" xfId="1" applyNumberFormat="1" applyFont="1" applyFill="1" applyBorder="1"/>
    <xf numFmtId="166" fontId="11" fillId="0" borderId="0" xfId="0" applyNumberFormat="1" applyFont="1" applyBorder="1"/>
    <xf numFmtId="39" fontId="11" fillId="0" borderId="0" xfId="0" applyNumberFormat="1" applyFont="1" applyBorder="1"/>
    <xf numFmtId="43" fontId="11" fillId="0" borderId="0" xfId="1" applyFont="1" applyBorder="1"/>
    <xf numFmtId="43" fontId="8" fillId="0" borderId="0" xfId="1" applyFont="1" applyBorder="1"/>
    <xf numFmtId="9" fontId="10" fillId="0" borderId="0" xfId="0" applyNumberFormat="1" applyFont="1" applyBorder="1"/>
    <xf numFmtId="43" fontId="10" fillId="0" borderId="0" xfId="1" applyFont="1" applyBorder="1"/>
    <xf numFmtId="165" fontId="8" fillId="0" borderId="16" xfId="0" applyNumberFormat="1" applyFont="1" applyBorder="1"/>
    <xf numFmtId="165" fontId="8" fillId="0" borderId="16" xfId="1" applyNumberFormat="1" applyFont="1" applyBorder="1"/>
    <xf numFmtId="165" fontId="14" fillId="0" borderId="22" xfId="1" applyNumberFormat="1" applyFont="1" applyBorder="1"/>
    <xf numFmtId="0" fontId="11" fillId="0" borderId="0" xfId="0" applyFont="1" applyFill="1" applyBorder="1" applyAlignment="1">
      <alignment horizontal="center" vertical="center"/>
    </xf>
    <xf numFmtId="43" fontId="11" fillId="0" borderId="0" xfId="1" applyFont="1" applyFill="1" applyBorder="1" applyAlignment="1">
      <alignment horizontal="center" vertical="center" wrapText="1"/>
    </xf>
    <xf numFmtId="0" fontId="25" fillId="0" borderId="0" xfId="5" applyFont="1"/>
    <xf numFmtId="0" fontId="32" fillId="0" borderId="0" xfId="10" applyFont="1" applyAlignment="1">
      <alignment horizontal="right" vertical="top" wrapText="1"/>
    </xf>
    <xf numFmtId="49" fontId="32" fillId="0" borderId="0" xfId="10" applyNumberFormat="1" applyFont="1" applyAlignment="1">
      <alignment horizontal="right" vertical="top" wrapText="1"/>
    </xf>
    <xf numFmtId="0" fontId="37" fillId="0" borderId="0" xfId="5" applyFont="1" applyAlignment="1">
      <alignment vertical="top" textRotation="255" wrapText="1"/>
    </xf>
    <xf numFmtId="0" fontId="37" fillId="0" borderId="41" xfId="5" applyFont="1" applyBorder="1" applyAlignment="1">
      <alignment horizontal="left" vertical="center"/>
    </xf>
    <xf numFmtId="0" fontId="37" fillId="0" borderId="0" xfId="5" applyFont="1" applyAlignment="1">
      <alignment wrapText="1"/>
    </xf>
    <xf numFmtId="0" fontId="37" fillId="0" borderId="4" xfId="5" applyFont="1" applyBorder="1" applyAlignment="1">
      <alignment horizontal="left" vertical="center"/>
    </xf>
    <xf numFmtId="0" fontId="25" fillId="0" borderId="0" xfId="5" applyFont="1" applyAlignment="1">
      <alignment wrapText="1"/>
    </xf>
    <xf numFmtId="0" fontId="25" fillId="0" borderId="42" xfId="5" applyFont="1" applyBorder="1" applyAlignment="1">
      <alignment horizontal="left" vertical="center"/>
    </xf>
    <xf numFmtId="0" fontId="25" fillId="0" borderId="17" xfId="5" applyFont="1" applyBorder="1" applyAlignment="1">
      <alignment horizontal="left" vertical="center"/>
    </xf>
    <xf numFmtId="0" fontId="25" fillId="0" borderId="31" xfId="5" applyFont="1" applyBorder="1" applyAlignment="1">
      <alignment horizontal="left" vertical="center"/>
    </xf>
    <xf numFmtId="0" fontId="41" fillId="0" borderId="3" xfId="5" applyFont="1" applyBorder="1" applyAlignment="1">
      <alignment horizontal="left" vertical="center"/>
    </xf>
    <xf numFmtId="0" fontId="25" fillId="0" borderId="14" xfId="5" applyFont="1" applyBorder="1" applyAlignment="1">
      <alignment vertical="center"/>
    </xf>
    <xf numFmtId="0" fontId="25" fillId="0" borderId="17" xfId="5" applyFont="1" applyBorder="1" applyAlignment="1">
      <alignment vertical="center"/>
    </xf>
    <xf numFmtId="0" fontId="25" fillId="0" borderId="32" xfId="5" applyFont="1" applyBorder="1" applyAlignment="1">
      <alignment horizontal="left" vertical="center"/>
    </xf>
    <xf numFmtId="0" fontId="25" fillId="0" borderId="36" xfId="5" applyFont="1" applyBorder="1" applyAlignment="1">
      <alignment horizontal="left" vertical="center" wrapText="1"/>
    </xf>
    <xf numFmtId="0" fontId="18" fillId="0" borderId="41" xfId="0" applyFont="1" applyBorder="1"/>
    <xf numFmtId="0" fontId="12" fillId="0" borderId="3" xfId="0" applyFont="1" applyBorder="1" applyAlignment="1"/>
    <xf numFmtId="43" fontId="11" fillId="3" borderId="55" xfId="0" applyNumberFormat="1" applyFont="1" applyFill="1" applyBorder="1"/>
    <xf numFmtId="43" fontId="8" fillId="3" borderId="55" xfId="1" applyFont="1" applyFill="1" applyBorder="1"/>
    <xf numFmtId="0" fontId="13" fillId="0" borderId="0" xfId="0" applyFont="1" applyBorder="1" applyAlignment="1">
      <alignment horizontal="right"/>
    </xf>
    <xf numFmtId="0" fontId="8" fillId="0" borderId="1" xfId="0" applyFont="1" applyBorder="1" applyAlignment="1">
      <alignment horizontal="right"/>
    </xf>
    <xf numFmtId="0" fontId="9" fillId="0" borderId="0" xfId="0" applyFont="1" applyBorder="1" applyAlignment="1">
      <alignment horizontal="left"/>
    </xf>
    <xf numFmtId="0" fontId="9" fillId="0" borderId="0" xfId="0" applyFont="1" applyBorder="1" applyAlignment="1">
      <alignment wrapText="1"/>
    </xf>
    <xf numFmtId="1" fontId="14" fillId="0" borderId="0" xfId="0" applyNumberFormat="1" applyFont="1" applyBorder="1"/>
    <xf numFmtId="0" fontId="14" fillId="0" borderId="0" xfId="0" applyFont="1" applyBorder="1"/>
    <xf numFmtId="43" fontId="9" fillId="0" borderId="0" xfId="1" applyFont="1" applyBorder="1" applyAlignment="1">
      <alignment wrapText="1"/>
    </xf>
    <xf numFmtId="43" fontId="9" fillId="0" borderId="0" xfId="1" applyFont="1" applyBorder="1"/>
    <xf numFmtId="0" fontId="9" fillId="0" borderId="0" xfId="0" applyFont="1" applyFill="1" applyBorder="1" applyAlignment="1">
      <alignment horizontal="center" wrapText="1"/>
    </xf>
    <xf numFmtId="39" fontId="8" fillId="0" borderId="0" xfId="0" applyNumberFormat="1" applyFont="1" applyBorder="1"/>
    <xf numFmtId="43" fontId="11" fillId="0" borderId="0" xfId="0" applyNumberFormat="1" applyFont="1" applyBorder="1"/>
    <xf numFmtId="0" fontId="8" fillId="0" borderId="17" xfId="0" applyFont="1" applyFill="1" applyBorder="1"/>
    <xf numFmtId="0" fontId="16" fillId="0" borderId="0" xfId="0" applyFont="1" applyFill="1"/>
    <xf numFmtId="4" fontId="43" fillId="0" borderId="55" xfId="0" applyNumberFormat="1" applyFont="1" applyBorder="1"/>
    <xf numFmtId="0" fontId="44" fillId="0" borderId="0" xfId="0" applyFont="1" applyAlignment="1">
      <alignment horizontal="left"/>
    </xf>
    <xf numFmtId="0" fontId="44" fillId="0" borderId="0" xfId="0" applyFont="1"/>
    <xf numFmtId="43" fontId="44" fillId="0" borderId="0" xfId="1" applyFont="1"/>
    <xf numFmtId="1" fontId="44" fillId="0" borderId="0" xfId="0" applyNumberFormat="1" applyFont="1" applyAlignment="1">
      <alignment horizontal="left"/>
    </xf>
    <xf numFmtId="0" fontId="11" fillId="0" borderId="1" xfId="0" applyFont="1" applyBorder="1" applyAlignment="1">
      <alignment horizontal="center"/>
    </xf>
    <xf numFmtId="167" fontId="19" fillId="0" borderId="22" xfId="0" applyNumberFormat="1" applyFont="1" applyBorder="1" applyAlignment="1">
      <alignment vertical="top" wrapText="1"/>
    </xf>
    <xf numFmtId="169" fontId="44" fillId="0" borderId="0" xfId="1" applyNumberFormat="1" applyFont="1"/>
    <xf numFmtId="0" fontId="45" fillId="0" borderId="23" xfId="0" applyFont="1" applyBorder="1" applyAlignment="1">
      <alignment horizontal="center" vertical="center" wrapText="1"/>
    </xf>
    <xf numFmtId="0" fontId="46" fillId="0" borderId="24" xfId="0" applyFont="1" applyBorder="1" applyAlignment="1">
      <alignment horizontal="center" vertical="center" wrapText="1"/>
    </xf>
    <xf numFmtId="43" fontId="9" fillId="0" borderId="0" xfId="1" applyFont="1" applyBorder="1" applyAlignment="1">
      <alignment horizontal="center"/>
    </xf>
    <xf numFmtId="14" fontId="11" fillId="0" borderId="8" xfId="0" applyNumberFormat="1" applyFont="1" applyBorder="1"/>
    <xf numFmtId="0" fontId="16" fillId="0" borderId="37" xfId="0" applyFont="1" applyFill="1" applyBorder="1"/>
    <xf numFmtId="0" fontId="16" fillId="0" borderId="37" xfId="0" applyFont="1" applyBorder="1"/>
    <xf numFmtId="43" fontId="15" fillId="0" borderId="40" xfId="1" applyFont="1" applyBorder="1"/>
    <xf numFmtId="43" fontId="15" fillId="0" borderId="15" xfId="1" applyFont="1" applyBorder="1"/>
    <xf numFmtId="0" fontId="16" fillId="0" borderId="40" xfId="0" applyFont="1" applyBorder="1"/>
    <xf numFmtId="43" fontId="16" fillId="0" borderId="29" xfId="1" applyFont="1" applyFill="1" applyBorder="1"/>
    <xf numFmtId="43" fontId="15" fillId="0" borderId="37" xfId="1" applyFont="1" applyFill="1" applyBorder="1"/>
    <xf numFmtId="43" fontId="15" fillId="0" borderId="37" xfId="1" applyFont="1" applyBorder="1"/>
    <xf numFmtId="43" fontId="16" fillId="0" borderId="33" xfId="1" applyFont="1" applyFill="1" applyBorder="1"/>
    <xf numFmtId="43" fontId="15" fillId="0" borderId="6" xfId="1" applyFont="1" applyBorder="1"/>
    <xf numFmtId="43" fontId="16" fillId="0" borderId="28" xfId="1" applyFont="1" applyFill="1" applyBorder="1"/>
    <xf numFmtId="1" fontId="16" fillId="0" borderId="2" xfId="0" applyNumberFormat="1" applyFont="1" applyBorder="1" applyAlignment="1">
      <alignment horizontal="center" vertical="center"/>
    </xf>
    <xf numFmtId="1" fontId="16" fillId="0" borderId="2" xfId="0" applyNumberFormat="1" applyFont="1" applyFill="1" applyBorder="1" applyAlignment="1">
      <alignment horizontal="center" vertical="center"/>
    </xf>
    <xf numFmtId="4" fontId="15" fillId="0" borderId="6" xfId="0" applyNumberFormat="1" applyFont="1" applyBorder="1" applyAlignment="1">
      <alignment horizontal="left"/>
    </xf>
    <xf numFmtId="43" fontId="15" fillId="0" borderId="6" xfId="1" applyFont="1" applyBorder="1" applyAlignment="1">
      <alignment horizontal="center"/>
    </xf>
    <xf numFmtId="43" fontId="16" fillId="0" borderId="38" xfId="0" applyNumberFormat="1" applyFont="1" applyFill="1" applyBorder="1" applyAlignment="1">
      <alignment horizontal="left" vertical="top" wrapText="1"/>
    </xf>
    <xf numFmtId="43" fontId="16" fillId="0" borderId="38" xfId="1" applyFont="1" applyFill="1" applyBorder="1" applyAlignment="1">
      <alignment horizontal="left" vertical="top" wrapText="1"/>
    </xf>
    <xf numFmtId="0" fontId="25" fillId="0" borderId="0" xfId="5" applyFont="1" applyAlignment="1">
      <alignment horizontal="left" vertical="center"/>
    </xf>
    <xf numFmtId="0" fontId="25" fillId="0" borderId="0" xfId="5" applyFont="1" applyAlignment="1">
      <alignment horizontal="left" vertical="center"/>
    </xf>
    <xf numFmtId="0" fontId="41" fillId="0" borderId="34" xfId="5" applyFont="1" applyBorder="1" applyAlignment="1">
      <alignment horizontal="left" vertical="center"/>
    </xf>
    <xf numFmtId="0" fontId="41" fillId="0" borderId="31" xfId="5" applyFont="1" applyBorder="1" applyAlignment="1">
      <alignment horizontal="left" vertical="center"/>
    </xf>
    <xf numFmtId="14" fontId="25" fillId="0" borderId="16" xfId="5" applyNumberFormat="1" applyFont="1" applyBorder="1" applyAlignment="1">
      <alignment horizontal="justify" vertical="justify"/>
    </xf>
    <xf numFmtId="14" fontId="25" fillId="0" borderId="43" xfId="5" applyNumberFormat="1" applyFont="1" applyBorder="1" applyAlignment="1">
      <alignment horizontal="justify" vertical="justify"/>
    </xf>
    <xf numFmtId="14" fontId="25" fillId="0" borderId="11" xfId="5" applyNumberFormat="1" applyFont="1" applyBorder="1" applyAlignment="1">
      <alignment horizontal="justify" vertical="justify"/>
    </xf>
    <xf numFmtId="14" fontId="25" fillId="0" borderId="52" xfId="5" applyNumberFormat="1" applyFont="1" applyBorder="1" applyAlignment="1">
      <alignment horizontal="justify" vertical="justify"/>
    </xf>
    <xf numFmtId="0" fontId="15" fillId="0" borderId="36" xfId="0" applyFont="1" applyBorder="1" applyAlignment="1">
      <alignment horizontal="center" vertical="center"/>
    </xf>
    <xf numFmtId="0" fontId="15" fillId="0" borderId="40" xfId="0" applyFont="1" applyBorder="1" applyAlignment="1">
      <alignment horizontal="center" vertical="center"/>
    </xf>
    <xf numFmtId="0" fontId="11" fillId="4" borderId="0" xfId="0" applyFont="1" applyFill="1" applyBorder="1" applyAlignment="1">
      <alignment horizontal="center" vertical="center"/>
    </xf>
    <xf numFmtId="0" fontId="13" fillId="0" borderId="12" xfId="0" applyFont="1" applyBorder="1" applyAlignment="1">
      <alignment horizontal="center" vertical="center"/>
    </xf>
    <xf numFmtId="0" fontId="13" fillId="0" borderId="21" xfId="0" applyFont="1" applyBorder="1" applyAlignment="1">
      <alignment horizontal="center" vertical="center"/>
    </xf>
    <xf numFmtId="0" fontId="12" fillId="0" borderId="0" xfId="0" applyFont="1" applyBorder="1" applyAlignment="1">
      <alignment horizontal="center"/>
    </xf>
    <xf numFmtId="0" fontId="12" fillId="0" borderId="7" xfId="0" applyFont="1" applyBorder="1" applyAlignment="1">
      <alignment horizontal="center"/>
    </xf>
    <xf numFmtId="0" fontId="11" fillId="0" borderId="2" xfId="0" applyFont="1" applyBorder="1" applyAlignment="1">
      <alignment horizontal="center" vertical="center"/>
    </xf>
    <xf numFmtId="0" fontId="11" fillId="0" borderId="15" xfId="0" applyFont="1" applyBorder="1" applyAlignment="1">
      <alignment horizontal="center" vertical="center"/>
    </xf>
    <xf numFmtId="0" fontId="12" fillId="0" borderId="0" xfId="0" applyFont="1" applyBorder="1" applyAlignment="1">
      <alignment horizontal="center" vertical="center"/>
    </xf>
    <xf numFmtId="0" fontId="12" fillId="0" borderId="7" xfId="0" applyFont="1" applyBorder="1" applyAlignment="1">
      <alignment horizontal="center" vertical="center"/>
    </xf>
    <xf numFmtId="0" fontId="11" fillId="0" borderId="1" xfId="0" applyFont="1" applyBorder="1" applyAlignment="1">
      <alignment horizontal="center"/>
    </xf>
    <xf numFmtId="0" fontId="12" fillId="0" borderId="12" xfId="0" applyFont="1" applyBorder="1" applyAlignment="1">
      <alignment horizontal="center"/>
    </xf>
    <xf numFmtId="0" fontId="12" fillId="0" borderId="21" xfId="0" applyFont="1" applyBorder="1" applyAlignment="1">
      <alignment horizontal="center"/>
    </xf>
    <xf numFmtId="0" fontId="20" fillId="0" borderId="0" xfId="12" applyFont="1" applyAlignment="1">
      <alignment textRotation="255"/>
    </xf>
    <xf numFmtId="0" fontId="1" fillId="0" borderId="0" xfId="12"/>
    <xf numFmtId="0" fontId="21" fillId="0" borderId="0" xfId="12" applyFont="1" applyAlignment="1">
      <alignment horizontal="center"/>
    </xf>
    <xf numFmtId="0" fontId="22" fillId="0" borderId="13" xfId="12" applyFont="1" applyBorder="1" applyAlignment="1">
      <alignment horizontal="center" vertical="center"/>
    </xf>
    <xf numFmtId="0" fontId="23" fillId="0" borderId="0" xfId="12" applyFont="1" applyAlignment="1">
      <alignment horizontal="center"/>
    </xf>
    <xf numFmtId="0" fontId="47" fillId="0" borderId="0" xfId="12" applyFont="1" applyAlignment="1">
      <alignment horizontal="right" wrapText="1"/>
    </xf>
    <xf numFmtId="0" fontId="22" fillId="0" borderId="9" xfId="12" applyFont="1" applyBorder="1" applyAlignment="1">
      <alignment horizontal="center" vertical="center"/>
    </xf>
    <xf numFmtId="0" fontId="24" fillId="0" borderId="0" xfId="12" applyFont="1" applyAlignment="1">
      <alignment textRotation="255"/>
    </xf>
    <xf numFmtId="0" fontId="24" fillId="0" borderId="0" xfId="12" applyFont="1"/>
    <xf numFmtId="0" fontId="22" fillId="0" borderId="22" xfId="12" applyFont="1" applyBorder="1" applyAlignment="1">
      <alignment horizontal="center" vertical="center"/>
    </xf>
    <xf numFmtId="0" fontId="26" fillId="0" borderId="0" xfId="12" applyFont="1" applyAlignment="1">
      <alignment horizontal="center"/>
    </xf>
    <xf numFmtId="0" fontId="26" fillId="0" borderId="0" xfId="12" applyFont="1" applyAlignment="1">
      <alignment horizontal="center"/>
    </xf>
    <xf numFmtId="0" fontId="26" fillId="0" borderId="0" xfId="12" applyFont="1"/>
    <xf numFmtId="0" fontId="27" fillId="0" borderId="0" xfId="12" applyFont="1" applyAlignment="1">
      <alignment horizontal="center"/>
    </xf>
    <xf numFmtId="0" fontId="27" fillId="0" borderId="0" xfId="12" applyFont="1" applyAlignment="1">
      <alignment horizontal="center"/>
    </xf>
    <xf numFmtId="0" fontId="26" fillId="0" borderId="41" xfId="12" applyFont="1" applyBorder="1" applyAlignment="1">
      <alignment horizontal="center"/>
    </xf>
    <xf numFmtId="0" fontId="26" fillId="0" borderId="12" xfId="12" applyFont="1" applyBorder="1" applyAlignment="1">
      <alignment horizontal="center"/>
    </xf>
    <xf numFmtId="0" fontId="28" fillId="0" borderId="21" xfId="12" applyFont="1" applyBorder="1" applyAlignment="1">
      <alignment horizontal="right"/>
    </xf>
    <xf numFmtId="14" fontId="29" fillId="0" borderId="0" xfId="12" applyNumberFormat="1" applyFont="1" applyAlignment="1">
      <alignment horizontal="center"/>
    </xf>
    <xf numFmtId="0" fontId="29" fillId="0" borderId="0" xfId="12" applyFont="1" applyAlignment="1">
      <alignment horizontal="center"/>
    </xf>
    <xf numFmtId="14" fontId="29" fillId="0" borderId="3" xfId="12" applyNumberFormat="1" applyFont="1" applyBorder="1" applyAlignment="1">
      <alignment horizontal="center"/>
    </xf>
    <xf numFmtId="0" fontId="27" fillId="0" borderId="7" xfId="12" applyFont="1" applyBorder="1" applyAlignment="1">
      <alignment horizontal="center"/>
    </xf>
    <xf numFmtId="14" fontId="29" fillId="0" borderId="4" xfId="12" applyNumberFormat="1" applyFont="1" applyBorder="1" applyAlignment="1">
      <alignment horizontal="center"/>
    </xf>
    <xf numFmtId="0" fontId="29" fillId="0" borderId="1" xfId="12" applyFont="1" applyBorder="1" applyAlignment="1">
      <alignment horizontal="center"/>
    </xf>
    <xf numFmtId="0" fontId="24" fillId="0" borderId="8" xfId="12" applyFont="1" applyBorder="1"/>
    <xf numFmtId="0" fontId="29" fillId="0" borderId="0" xfId="12" applyFont="1" applyAlignment="1">
      <alignment horizontal="justify" vertical="justify"/>
    </xf>
    <xf numFmtId="0" fontId="37" fillId="0" borderId="0" xfId="12" applyFont="1" applyAlignment="1">
      <alignment textRotation="255" wrapText="1"/>
    </xf>
    <xf numFmtId="0" fontId="36" fillId="0" borderId="0" xfId="12" applyFont="1" applyAlignment="1">
      <alignment horizontal="justify" vertical="justify"/>
    </xf>
    <xf numFmtId="0" fontId="29" fillId="0" borderId="0" xfId="12" applyFont="1" applyAlignment="1">
      <alignment horizontal="justify" vertical="justify"/>
    </xf>
    <xf numFmtId="0" fontId="31" fillId="0" borderId="0" xfId="12" applyFont="1" applyAlignment="1">
      <alignment horizontal="center"/>
    </xf>
    <xf numFmtId="0" fontId="30" fillId="0" borderId="0" xfId="12" applyFont="1"/>
    <xf numFmtId="0" fontId="32" fillId="0" borderId="0" xfId="12" applyFont="1"/>
    <xf numFmtId="0" fontId="32" fillId="0" borderId="0" xfId="12" applyFont="1" applyAlignment="1">
      <alignment horizontal="right"/>
    </xf>
    <xf numFmtId="0" fontId="48" fillId="0" borderId="0" xfId="12" applyFont="1"/>
    <xf numFmtId="0" fontId="34" fillId="0" borderId="0" xfId="12" applyFont="1"/>
    <xf numFmtId="0" fontId="35" fillId="0" borderId="0" xfId="12" applyFont="1"/>
    <xf numFmtId="0" fontId="33" fillId="0" borderId="0" xfId="12" applyFont="1"/>
    <xf numFmtId="0" fontId="30" fillId="0" borderId="0" xfId="12" applyFont="1" applyAlignment="1">
      <alignment textRotation="255"/>
    </xf>
    <xf numFmtId="0" fontId="26" fillId="0" borderId="42" xfId="12" applyFont="1" applyBorder="1" applyAlignment="1">
      <alignment horizontal="center" vertical="center"/>
    </xf>
    <xf numFmtId="0" fontId="26" fillId="0" borderId="43" xfId="12" applyFont="1" applyBorder="1" applyAlignment="1">
      <alignment horizontal="center" vertical="center"/>
    </xf>
    <xf numFmtId="0" fontId="26" fillId="0" borderId="39" xfId="12" applyFont="1" applyBorder="1" applyAlignment="1">
      <alignment horizontal="center" vertical="center"/>
    </xf>
    <xf numFmtId="0" fontId="26" fillId="0" borderId="16" xfId="12" applyFont="1" applyBorder="1" applyAlignment="1">
      <alignment horizontal="center" vertical="center"/>
    </xf>
    <xf numFmtId="0" fontId="36" fillId="0" borderId="42" xfId="12" applyFont="1" applyBorder="1" applyAlignment="1">
      <alignment horizontal="center" vertical="center" wrapText="1"/>
    </xf>
    <xf numFmtId="0" fontId="36" fillId="0" borderId="43" xfId="12" applyFont="1" applyBorder="1" applyAlignment="1">
      <alignment horizontal="center" vertical="center" wrapText="1"/>
    </xf>
    <xf numFmtId="0" fontId="26" fillId="0" borderId="44" xfId="12" applyFont="1" applyBorder="1" applyAlignment="1">
      <alignment horizontal="center" vertical="center"/>
    </xf>
    <xf numFmtId="0" fontId="26" fillId="0" borderId="45" xfId="12" applyFont="1" applyBorder="1" applyAlignment="1">
      <alignment horizontal="center" vertical="center"/>
    </xf>
    <xf numFmtId="0" fontId="26" fillId="0" borderId="46" xfId="12" applyFont="1" applyBorder="1" applyAlignment="1">
      <alignment horizontal="center" vertical="center"/>
    </xf>
    <xf numFmtId="0" fontId="27" fillId="0" borderId="47" xfId="12" applyFont="1" applyBorder="1" applyAlignment="1">
      <alignment vertical="center"/>
    </xf>
    <xf numFmtId="0" fontId="27" fillId="0" borderId="26" xfId="12" applyFont="1" applyBorder="1" applyAlignment="1">
      <alignment vertical="center"/>
    </xf>
    <xf numFmtId="0" fontId="36" fillId="0" borderId="45" xfId="12" applyFont="1" applyBorder="1" applyAlignment="1">
      <alignment horizontal="center" vertical="center" wrapText="1"/>
    </xf>
    <xf numFmtId="0" fontId="36" fillId="0" borderId="46" xfId="12" applyFont="1" applyBorder="1" applyAlignment="1">
      <alignment horizontal="center" vertical="center" wrapText="1"/>
    </xf>
    <xf numFmtId="0" fontId="26" fillId="0" borderId="48" xfId="12" applyFont="1" applyBorder="1" applyAlignment="1">
      <alignment horizontal="center" vertical="center"/>
    </xf>
    <xf numFmtId="0" fontId="24" fillId="0" borderId="49" xfId="12" applyFont="1" applyBorder="1" applyAlignment="1">
      <alignment horizontal="left" vertical="justify"/>
    </xf>
    <xf numFmtId="0" fontId="24" fillId="0" borderId="44" xfId="12" applyFont="1" applyBorder="1" applyAlignment="1">
      <alignment horizontal="left" vertical="justify"/>
    </xf>
    <xf numFmtId="0" fontId="27" fillId="0" borderId="50" xfId="12" applyFont="1" applyBorder="1" applyAlignment="1">
      <alignment horizontal="center" vertical="center"/>
    </xf>
    <xf numFmtId="0" fontId="27" fillId="0" borderId="22" xfId="12" applyFont="1" applyBorder="1" applyAlignment="1">
      <alignment horizontal="center" vertical="center"/>
    </xf>
    <xf numFmtId="0" fontId="27" fillId="0" borderId="25" xfId="12" applyFont="1" applyBorder="1" applyAlignment="1">
      <alignment horizontal="center" vertical="center"/>
    </xf>
    <xf numFmtId="0" fontId="26" fillId="0" borderId="51" xfId="12" applyFont="1" applyBorder="1" applyAlignment="1">
      <alignment horizontal="center" vertical="center" wrapText="1"/>
    </xf>
    <xf numFmtId="0" fontId="26" fillId="0" borderId="28" xfId="12" applyFont="1" applyBorder="1" applyAlignment="1">
      <alignment horizontal="center" vertical="center"/>
    </xf>
    <xf numFmtId="0" fontId="24" fillId="0" borderId="17" xfId="12" applyFont="1" applyBorder="1" applyAlignment="1">
      <alignment horizontal="justify" vertical="justify"/>
    </xf>
    <xf numFmtId="0" fontId="24" fillId="0" borderId="52" xfId="12" applyFont="1" applyBorder="1" applyAlignment="1">
      <alignment horizontal="justify" vertical="justify"/>
    </xf>
    <xf numFmtId="0" fontId="24" fillId="0" borderId="27" xfId="12" applyFont="1" applyBorder="1" applyAlignment="1">
      <alignment horizontal="center"/>
    </xf>
    <xf numFmtId="0" fontId="24" fillId="0" borderId="11" xfId="12" applyFont="1" applyBorder="1" applyAlignment="1">
      <alignment horizontal="center"/>
    </xf>
    <xf numFmtId="0" fontId="27" fillId="0" borderId="17" xfId="12" applyFont="1" applyBorder="1" applyAlignment="1">
      <alignment horizontal="center"/>
    </xf>
    <xf numFmtId="0" fontId="27" fillId="0" borderId="52" xfId="12" applyFont="1" applyBorder="1" applyAlignment="1">
      <alignment horizontal="center"/>
    </xf>
    <xf numFmtId="0" fontId="24" fillId="0" borderId="29" xfId="12" applyFont="1" applyBorder="1"/>
    <xf numFmtId="0" fontId="26" fillId="0" borderId="17" xfId="12" applyFont="1" applyBorder="1" applyAlignment="1">
      <alignment horizontal="justify" vertical="justify"/>
    </xf>
    <xf numFmtId="0" fontId="26" fillId="0" borderId="52" xfId="12" applyFont="1" applyBorder="1" applyAlignment="1">
      <alignment horizontal="justify" vertical="justify"/>
    </xf>
    <xf numFmtId="0" fontId="24" fillId="0" borderId="52" xfId="12" applyFont="1" applyBorder="1" applyAlignment="1">
      <alignment horizontal="center"/>
    </xf>
    <xf numFmtId="0" fontId="27" fillId="0" borderId="29" xfId="12" applyFont="1" applyBorder="1"/>
    <xf numFmtId="0" fontId="24" fillId="0" borderId="17" xfId="12" applyFont="1" applyBorder="1" applyAlignment="1">
      <alignment horizontal="center"/>
    </xf>
    <xf numFmtId="0" fontId="49" fillId="0" borderId="17" xfId="12" applyFont="1" applyBorder="1" applyAlignment="1">
      <alignment horizontal="justify" vertical="justify"/>
    </xf>
    <xf numFmtId="0" fontId="49" fillId="0" borderId="52" xfId="12" applyFont="1" applyBorder="1" applyAlignment="1">
      <alignment horizontal="justify" vertical="justify"/>
    </xf>
    <xf numFmtId="0" fontId="24" fillId="0" borderId="17" xfId="12" applyFont="1" applyBorder="1" applyAlignment="1">
      <alignment horizontal="justify" vertical="justify" wrapText="1"/>
    </xf>
    <xf numFmtId="0" fontId="24" fillId="0" borderId="45" xfId="12" applyFont="1" applyBorder="1" applyAlignment="1">
      <alignment horizontal="justify" vertical="justify"/>
    </xf>
    <xf numFmtId="0" fontId="24" fillId="0" borderId="46" xfId="12" applyFont="1" applyBorder="1" applyAlignment="1">
      <alignment horizontal="justify" vertical="justify"/>
    </xf>
    <xf numFmtId="0" fontId="24" fillId="0" borderId="47" xfId="12" applyFont="1" applyBorder="1"/>
    <xf numFmtId="0" fontId="24" fillId="0" borderId="26" xfId="12" applyFont="1" applyBorder="1"/>
    <xf numFmtId="0" fontId="24" fillId="0" borderId="45" xfId="12" applyFont="1" applyBorder="1"/>
    <xf numFmtId="0" fontId="24" fillId="0" borderId="46" xfId="12" applyFont="1" applyBorder="1"/>
    <xf numFmtId="0" fontId="24" fillId="0" borderId="48" xfId="12" applyFont="1" applyBorder="1"/>
    <xf numFmtId="0" fontId="26" fillId="0" borderId="0" xfId="12" applyFont="1" applyAlignment="1">
      <alignment horizontal="justify" vertical="justify"/>
    </xf>
    <xf numFmtId="0" fontId="24" fillId="0" borderId="14" xfId="12" applyFont="1" applyBorder="1" applyAlignment="1">
      <alignment horizontal="center"/>
    </xf>
    <xf numFmtId="0" fontId="24" fillId="0" borderId="53" xfId="12" applyFont="1" applyBorder="1" applyAlignment="1">
      <alignment horizontal="center"/>
    </xf>
    <xf numFmtId="0" fontId="24" fillId="0" borderId="30" xfId="12" applyFont="1" applyBorder="1" applyAlignment="1">
      <alignment horizontal="center"/>
    </xf>
    <xf numFmtId="0" fontId="38" fillId="0" borderId="12" xfId="12" applyFont="1" applyBorder="1" applyAlignment="1">
      <alignment horizontal="center" wrapText="1"/>
    </xf>
    <xf numFmtId="0" fontId="39" fillId="0" borderId="2" xfId="12" applyFont="1" applyBorder="1" applyAlignment="1">
      <alignment horizontal="center" vertical="center" wrapText="1"/>
    </xf>
    <xf numFmtId="0" fontId="40" fillId="0" borderId="0" xfId="12" applyFont="1" applyAlignment="1">
      <alignment horizontal="center" wrapText="1"/>
    </xf>
    <xf numFmtId="0" fontId="40" fillId="0" borderId="0" xfId="12" applyFont="1" applyAlignment="1">
      <alignment wrapText="1"/>
    </xf>
    <xf numFmtId="0" fontId="25" fillId="0" borderId="1" xfId="12" applyFont="1" applyBorder="1" applyAlignment="1">
      <alignment horizontal="center" wrapText="1"/>
    </xf>
    <xf numFmtId="0" fontId="39" fillId="0" borderId="15" xfId="12" applyFont="1" applyBorder="1" applyAlignment="1">
      <alignment horizontal="center" vertical="center" wrapText="1"/>
    </xf>
    <xf numFmtId="0" fontId="25" fillId="0" borderId="0" xfId="12" applyFont="1" applyAlignment="1">
      <alignment horizontal="center" wrapText="1"/>
    </xf>
    <xf numFmtId="0" fontId="27" fillId="0" borderId="0" xfId="5" applyFont="1" applyAlignment="1">
      <alignment horizontal="center" wrapText="1"/>
    </xf>
    <xf numFmtId="0" fontId="24" fillId="0" borderId="0" xfId="12" applyFont="1" applyAlignment="1">
      <alignment vertical="top" textRotation="255"/>
    </xf>
    <xf numFmtId="14" fontId="37" fillId="0" borderId="0" xfId="12" applyNumberFormat="1" applyFont="1" applyAlignment="1">
      <alignment horizontal="left" vertical="center" wrapText="1"/>
    </xf>
    <xf numFmtId="0" fontId="37" fillId="0" borderId="17" xfId="12" applyFont="1" applyBorder="1" applyAlignment="1">
      <alignment horizontal="justify" vertical="justify"/>
    </xf>
    <xf numFmtId="0" fontId="37" fillId="0" borderId="11" xfId="12" applyFont="1" applyBorder="1" applyAlignment="1">
      <alignment horizontal="justify" vertical="justify"/>
    </xf>
    <xf numFmtId="0" fontId="37" fillId="0" borderId="52" xfId="12" applyFont="1" applyBorder="1" applyAlignment="1">
      <alignment horizontal="justify" vertical="justify"/>
    </xf>
    <xf numFmtId="0" fontId="37" fillId="0" borderId="0" xfId="12" applyFont="1" applyAlignment="1">
      <alignment horizontal="left" vertical="center" wrapText="1"/>
    </xf>
    <xf numFmtId="0" fontId="25" fillId="0" borderId="0" xfId="12" applyFont="1" applyAlignment="1">
      <alignment horizontal="left" vertical="center" wrapText="1"/>
    </xf>
    <xf numFmtId="164" fontId="25" fillId="0" borderId="4" xfId="13" applyFont="1" applyFill="1" applyBorder="1" applyAlignment="1">
      <alignment horizontal="center" vertical="center"/>
    </xf>
    <xf numFmtId="164" fontId="25" fillId="0" borderId="1" xfId="13" applyFont="1" applyFill="1" applyBorder="1" applyAlignment="1">
      <alignment horizontal="center" vertical="center"/>
    </xf>
    <xf numFmtId="164" fontId="25" fillId="0" borderId="8" xfId="13" applyFont="1" applyFill="1" applyBorder="1" applyAlignment="1">
      <alignment horizontal="center" vertical="center"/>
    </xf>
    <xf numFmtId="164" fontId="37" fillId="0" borderId="0" xfId="13" applyFont="1" applyBorder="1" applyAlignment="1">
      <alignment horizontal="left" vertical="center" wrapText="1"/>
    </xf>
    <xf numFmtId="0" fontId="25" fillId="0" borderId="3" xfId="12" applyFont="1" applyBorder="1" applyAlignment="1">
      <alignment horizontal="center" vertical="center"/>
    </xf>
    <xf numFmtId="164" fontId="25" fillId="0" borderId="6" xfId="13" applyFont="1" applyFill="1" applyBorder="1" applyAlignment="1">
      <alignment vertical="center"/>
    </xf>
    <xf numFmtId="164" fontId="25" fillId="0" borderId="30" xfId="13" applyFont="1" applyBorder="1" applyAlignment="1">
      <alignment horizontal="left" vertical="center" wrapText="1"/>
    </xf>
    <xf numFmtId="0" fontId="25" fillId="0" borderId="3" xfId="12" applyFont="1" applyBorder="1" applyAlignment="1">
      <alignment vertical="center"/>
    </xf>
    <xf numFmtId="0" fontId="25" fillId="0" borderId="54" xfId="12" applyFont="1" applyBorder="1" applyAlignment="1">
      <alignment vertical="center"/>
    </xf>
    <xf numFmtId="170" fontId="24" fillId="0" borderId="7" xfId="14" applyFont="1" applyBorder="1" applyAlignment="1">
      <alignment horizontal="left"/>
    </xf>
    <xf numFmtId="0" fontId="24" fillId="0" borderId="0" xfId="12" applyFont="1" applyAlignment="1">
      <alignment horizontal="left"/>
    </xf>
    <xf numFmtId="0" fontId="24" fillId="0" borderId="7" xfId="12" applyFont="1" applyBorder="1" applyAlignment="1">
      <alignment horizontal="left"/>
    </xf>
    <xf numFmtId="170" fontId="37" fillId="0" borderId="17" xfId="12" applyNumberFormat="1" applyFont="1" applyBorder="1" applyAlignment="1">
      <alignment horizontal="justify" vertical="justify"/>
    </xf>
    <xf numFmtId="9" fontId="37" fillId="0" borderId="17" xfId="15" applyFont="1" applyFill="1" applyBorder="1" applyAlignment="1">
      <alignment horizontal="justify" vertical="justify"/>
    </xf>
    <xf numFmtId="9" fontId="37" fillId="0" borderId="11" xfId="15" applyFont="1" applyFill="1" applyBorder="1" applyAlignment="1">
      <alignment horizontal="justify" vertical="justify"/>
    </xf>
    <xf numFmtId="9" fontId="37" fillId="0" borderId="52" xfId="15" applyFont="1" applyFill="1" applyBorder="1" applyAlignment="1">
      <alignment horizontal="justify" vertical="justify"/>
    </xf>
    <xf numFmtId="9" fontId="37" fillId="0" borderId="0" xfId="12" applyNumberFormat="1" applyFont="1" applyAlignment="1">
      <alignment horizontal="left" vertical="center" wrapText="1"/>
    </xf>
    <xf numFmtId="0" fontId="37" fillId="0" borderId="11" xfId="12" applyFont="1" applyBorder="1" applyAlignment="1">
      <alignment horizontal="left" vertical="center" wrapText="1"/>
    </xf>
    <xf numFmtId="0" fontId="37" fillId="0" borderId="52" xfId="12" applyFont="1" applyBorder="1" applyAlignment="1">
      <alignment horizontal="left" vertical="center" wrapText="1"/>
    </xf>
    <xf numFmtId="0" fontId="27" fillId="0" borderId="11" xfId="12" applyFont="1" applyBorder="1" applyAlignment="1">
      <alignment horizontal="left" vertical="center" wrapText="1"/>
    </xf>
    <xf numFmtId="0" fontId="37" fillId="0" borderId="17" xfId="12" applyFont="1" applyBorder="1" applyAlignment="1">
      <alignment horizontal="justify" vertical="justify" wrapText="1"/>
    </xf>
    <xf numFmtId="0" fontId="37" fillId="0" borderId="11" xfId="12" applyFont="1" applyBorder="1" applyAlignment="1">
      <alignment horizontal="justify" vertical="justify" wrapText="1"/>
    </xf>
    <xf numFmtId="0" fontId="37" fillId="0" borderId="52" xfId="12" applyFont="1" applyBorder="1" applyAlignment="1">
      <alignment horizontal="justify" vertical="justify" wrapText="1"/>
    </xf>
    <xf numFmtId="0" fontId="37" fillId="0" borderId="17" xfId="12" applyFont="1" applyBorder="1" applyAlignment="1">
      <alignment horizontal="left" vertical="center" wrapText="1"/>
    </xf>
    <xf numFmtId="0" fontId="37" fillId="0" borderId="11" xfId="12" applyFont="1" applyBorder="1" applyAlignment="1">
      <alignment horizontal="left" vertical="center" wrapText="1"/>
    </xf>
    <xf numFmtId="0" fontId="37" fillId="0" borderId="50" xfId="12" applyFont="1" applyBorder="1" applyAlignment="1">
      <alignment horizontal="justify" vertical="justify" wrapText="1"/>
    </xf>
    <xf numFmtId="0" fontId="37" fillId="0" borderId="22" xfId="12" applyFont="1" applyBorder="1" applyAlignment="1">
      <alignment horizontal="justify" vertical="justify" wrapText="1"/>
    </xf>
    <xf numFmtId="0" fontId="37" fillId="0" borderId="51" xfId="12" applyFont="1" applyBorder="1" applyAlignment="1">
      <alignment horizontal="justify" vertical="justify" wrapText="1"/>
    </xf>
    <xf numFmtId="0" fontId="25" fillId="0" borderId="37" xfId="12" applyFont="1" applyBorder="1" applyAlignment="1">
      <alignment horizontal="left" vertical="center"/>
    </xf>
    <xf numFmtId="0" fontId="37" fillId="0" borderId="27" xfId="12" applyFont="1" applyBorder="1" applyAlignment="1">
      <alignment horizontal="justify" vertical="justify" wrapText="1"/>
    </xf>
    <xf numFmtId="0" fontId="25" fillId="0" borderId="0" xfId="12" applyFont="1" applyAlignment="1">
      <alignment horizontal="center" vertical="center" wrapText="1"/>
    </xf>
    <xf numFmtId="0" fontId="25" fillId="0" borderId="27" xfId="12" applyFont="1" applyBorder="1" applyAlignment="1">
      <alignment horizontal="justify" vertical="justify" wrapText="1"/>
    </xf>
    <xf numFmtId="0" fontId="25" fillId="0" borderId="11" xfId="12" applyFont="1" applyBorder="1" applyAlignment="1">
      <alignment horizontal="justify" vertical="justify" wrapText="1"/>
    </xf>
    <xf numFmtId="0" fontId="25" fillId="0" borderId="52" xfId="12" applyFont="1" applyBorder="1" applyAlignment="1">
      <alignment horizontal="justify" vertical="justify" wrapText="1"/>
    </xf>
    <xf numFmtId="0" fontId="37" fillId="0" borderId="0" xfId="12" applyFont="1" applyAlignment="1">
      <alignment vertical="top" wrapText="1"/>
    </xf>
    <xf numFmtId="0" fontId="25" fillId="0" borderId="37" xfId="12" applyFont="1" applyBorder="1" applyAlignment="1">
      <alignment horizontal="center" vertical="center"/>
    </xf>
    <xf numFmtId="0" fontId="25" fillId="0" borderId="27" xfId="12" applyFont="1" applyBorder="1" applyAlignment="1">
      <alignment vertical="center"/>
    </xf>
    <xf numFmtId="0" fontId="24" fillId="0" borderId="11" xfId="12" applyFont="1" applyBorder="1"/>
    <xf numFmtId="0" fontId="37" fillId="0" borderId="52" xfId="12" applyFont="1" applyBorder="1" applyAlignment="1">
      <alignment vertical="center"/>
    </xf>
    <xf numFmtId="0" fontId="37" fillId="0" borderId="0" xfId="12" applyFont="1" applyAlignment="1">
      <alignment vertical="center"/>
    </xf>
    <xf numFmtId="0" fontId="25" fillId="0" borderId="40" xfId="12" applyFont="1" applyBorder="1" applyAlignment="1">
      <alignment horizontal="center" vertical="center"/>
    </xf>
    <xf numFmtId="0" fontId="27" fillId="0" borderId="11" xfId="12" applyFont="1" applyBorder="1" applyAlignment="1">
      <alignment vertical="center"/>
    </xf>
    <xf numFmtId="0" fontId="25" fillId="0" borderId="34" xfId="12" applyFont="1" applyBorder="1" applyAlignment="1">
      <alignment horizontal="left" vertical="center"/>
    </xf>
    <xf numFmtId="0" fontId="25" fillId="0" borderId="17" xfId="12" applyFont="1" applyBorder="1" applyAlignment="1">
      <alignment horizontal="left" vertical="center"/>
    </xf>
    <xf numFmtId="0" fontId="25" fillId="0" borderId="11" xfId="12" applyFont="1" applyBorder="1" applyAlignment="1">
      <alignment horizontal="left" vertical="center"/>
    </xf>
    <xf numFmtId="0" fontId="42" fillId="0" borderId="52" xfId="12" applyFont="1" applyBorder="1" applyAlignment="1">
      <alignment horizontal="center" vertical="center" textRotation="90" wrapText="1"/>
    </xf>
    <xf numFmtId="0" fontId="25" fillId="0" borderId="0" xfId="12" applyFont="1" applyAlignment="1">
      <alignment vertical="center"/>
    </xf>
    <xf numFmtId="0" fontId="25" fillId="0" borderId="31" xfId="12" applyFont="1" applyBorder="1" applyAlignment="1">
      <alignment horizontal="left" vertical="center"/>
    </xf>
    <xf numFmtId="0" fontId="37" fillId="0" borderId="17" xfId="12" applyFont="1" applyBorder="1" applyAlignment="1">
      <alignment horizontal="justify" vertical="top" wrapText="1"/>
    </xf>
    <xf numFmtId="0" fontId="37" fillId="0" borderId="11" xfId="12" applyFont="1" applyBorder="1" applyAlignment="1">
      <alignment horizontal="justify" vertical="top" wrapText="1"/>
    </xf>
    <xf numFmtId="0" fontId="37" fillId="0" borderId="0" xfId="12" applyFont="1" applyAlignment="1">
      <alignment horizontal="left" vertical="top" wrapText="1"/>
    </xf>
    <xf numFmtId="0" fontId="25" fillId="5" borderId="31" xfId="12" applyFont="1" applyFill="1" applyBorder="1" applyAlignment="1">
      <alignment horizontal="left" vertical="center"/>
    </xf>
    <xf numFmtId="0" fontId="25" fillId="0" borderId="25" xfId="12" applyFont="1" applyBorder="1" applyAlignment="1">
      <alignment horizontal="left" vertical="center"/>
    </xf>
    <xf numFmtId="0" fontId="25" fillId="0" borderId="22" xfId="12" applyFont="1" applyBorder="1" applyAlignment="1">
      <alignment horizontal="left" vertical="center"/>
    </xf>
    <xf numFmtId="0" fontId="42" fillId="0" borderId="7" xfId="12" applyFont="1" applyBorder="1" applyAlignment="1">
      <alignment horizontal="center" vertical="center" textRotation="90" wrapText="1"/>
    </xf>
    <xf numFmtId="0" fontId="25" fillId="5" borderId="56" xfId="12" applyFont="1" applyFill="1" applyBorder="1" applyAlignment="1">
      <alignment horizontal="left" vertical="center"/>
    </xf>
    <xf numFmtId="0" fontId="37" fillId="0" borderId="45" xfId="12" applyFont="1" applyBorder="1" applyAlignment="1">
      <alignment horizontal="justify" vertical="top" wrapText="1"/>
    </xf>
    <xf numFmtId="0" fontId="37" fillId="0" borderId="26" xfId="12" applyFont="1" applyBorder="1" applyAlignment="1">
      <alignment horizontal="justify" vertical="top" wrapText="1"/>
    </xf>
    <xf numFmtId="0" fontId="42" fillId="0" borderId="8" xfId="12" applyFont="1" applyBorder="1" applyAlignment="1">
      <alignment horizontal="center" vertical="center" textRotation="90" wrapText="1"/>
    </xf>
    <xf numFmtId="0" fontId="37" fillId="0" borderId="0" xfId="12" applyFont="1" applyAlignment="1">
      <alignment horizontal="left" vertical="center"/>
    </xf>
    <xf numFmtId="0" fontId="37" fillId="0" borderId="0" xfId="12" applyFont="1"/>
  </cellXfs>
  <cellStyles count="16">
    <cellStyle name="Millares" xfId="1" builtinId="3"/>
    <cellStyle name="Millares 2" xfId="6" xr:uid="{00000000-0005-0000-0000-000001000000}"/>
    <cellStyle name="Millares 3" xfId="7" xr:uid="{00000000-0005-0000-0000-000002000000}"/>
    <cellStyle name="Millares 4" xfId="9" xr:uid="{00000000-0005-0000-0000-000003000000}"/>
    <cellStyle name="Millares 5" xfId="13" xr:uid="{66A31B8E-519D-47D1-B68A-B8171BCE7FED}"/>
    <cellStyle name="Moneda 2" xfId="14" xr:uid="{786DC5A7-D6A9-4960-886E-735312FF4A1B}"/>
    <cellStyle name="Normal" xfId="0" builtinId="0"/>
    <cellStyle name="Normal 10" xfId="2" xr:uid="{00000000-0005-0000-0000-000005000000}"/>
    <cellStyle name="Normal 2" xfId="3" xr:uid="{00000000-0005-0000-0000-000006000000}"/>
    <cellStyle name="Normal 2 2" xfId="5" xr:uid="{00000000-0005-0000-0000-000007000000}"/>
    <cellStyle name="Normal 3" xfId="8" xr:uid="{00000000-0005-0000-0000-000008000000}"/>
    <cellStyle name="Normal 4" xfId="12" xr:uid="{EEDF788A-743E-43DC-9726-6816EC859A71}"/>
    <cellStyle name="Normal 47" xfId="10" xr:uid="{9FDBFCF2-CC96-476C-B299-8252AC8A7384}"/>
    <cellStyle name="Normal 7" xfId="4" xr:uid="{00000000-0005-0000-0000-000009000000}"/>
    <cellStyle name="Porcentaje 2" xfId="11" xr:uid="{1B659A73-C5E7-4AD6-870F-F35978BF65E8}"/>
    <cellStyle name="Porcentaje 3" xfId="15" xr:uid="{D3849E31-7544-4C75-9394-93EEB9A15CA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284269</xdr:colOff>
      <xdr:row>0</xdr:row>
      <xdr:rowOff>0</xdr:rowOff>
    </xdr:from>
    <xdr:to>
      <xdr:col>1</xdr:col>
      <xdr:colOff>1619251</xdr:colOff>
      <xdr:row>1</xdr:row>
      <xdr:rowOff>295275</xdr:rowOff>
    </xdr:to>
    <xdr:pic>
      <xdr:nvPicPr>
        <xdr:cNvPr id="2" name="Imagen 2" descr="C:\Users\Usuario\Desktop\A AUDITORIAS\A AUDITORIAS\2018\LOGOS\Logo 1\3ANG_LOGO.png">
          <a:extLst>
            <a:ext uri="{FF2B5EF4-FFF2-40B4-BE49-F238E27FC236}">
              <a16:creationId xmlns:a16="http://schemas.microsoft.com/office/drawing/2014/main" id="{D9C133D1-10AE-4D56-9355-93B9474F05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919" y="0"/>
          <a:ext cx="1334982" cy="6477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25609FFC-B18F-4A40-9BE5-83E45B992AD6}"/>
            </a:ext>
          </a:extLst>
        </xdr:cNvPr>
        <xdr:cNvSpPr/>
      </xdr:nvSpPr>
      <xdr:spPr>
        <a:xfrm>
          <a:off x="11525250" y="0"/>
          <a:ext cx="800100" cy="5810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9525</xdr:rowOff>
    </xdr:from>
    <xdr:to>
      <xdr:col>2</xdr:col>
      <xdr:colOff>1247775</xdr:colOff>
      <xdr:row>2</xdr:row>
      <xdr:rowOff>95250</xdr:rowOff>
    </xdr:to>
    <xdr:pic>
      <xdr:nvPicPr>
        <xdr:cNvPr id="2" name="Imagen 1" descr="C:\Users\Usuario\Desktop\A AUDITORIAS\A AUDITORIAS\2018\LOGOS\Logo 1\3ANG_LOGO.png">
          <a:extLst>
            <a:ext uri="{FF2B5EF4-FFF2-40B4-BE49-F238E27FC236}">
              <a16:creationId xmlns:a16="http://schemas.microsoft.com/office/drawing/2014/main" id="{5D1B68EB-D85C-4FEC-AE95-B365CDD8809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6" y="9525"/>
          <a:ext cx="1400174" cy="60007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BBA3A4B0-CBB8-45BE-8FAE-15BFD18C7E59}"/>
            </a:ext>
          </a:extLst>
        </xdr:cNvPr>
        <xdr:cNvSpPr/>
      </xdr:nvSpPr>
      <xdr:spPr>
        <a:xfrm>
          <a:off x="11420475"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1924051</xdr:colOff>
      <xdr:row>3</xdr:row>
      <xdr:rowOff>0</xdr:rowOff>
    </xdr:to>
    <xdr:pic>
      <xdr:nvPicPr>
        <xdr:cNvPr id="4" name="Imagen 2" descr="C:\Users\Usuario\Desktop\A AUDITORIAS\A AUDITORIAS\2018\LOGOS\Logo 1\3ANG_LOGO.png">
          <a:extLst>
            <a:ext uri="{FF2B5EF4-FFF2-40B4-BE49-F238E27FC236}">
              <a16:creationId xmlns:a16="http://schemas.microsoft.com/office/drawing/2014/main" id="{D24F1FCF-47D1-465D-9F37-1800545A6C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1704976" cy="6858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400050</xdr:colOff>
      <xdr:row>0</xdr:row>
      <xdr:rowOff>0</xdr:rowOff>
    </xdr:from>
    <xdr:to>
      <xdr:col>0</xdr:col>
      <xdr:colOff>1924050</xdr:colOff>
      <xdr:row>3</xdr:row>
      <xdr:rowOff>0</xdr:rowOff>
    </xdr:to>
    <xdr:pic>
      <xdr:nvPicPr>
        <xdr:cNvPr id="3" name="Imagen 2" descr="C:\Users\Usuario\Desktop\A AUDITORIAS\A AUDITORIAS\2018\LOGOS\Logo 1\3ANG_LOGO.png">
          <a:extLst>
            <a:ext uri="{FF2B5EF4-FFF2-40B4-BE49-F238E27FC236}">
              <a16:creationId xmlns:a16="http://schemas.microsoft.com/office/drawing/2014/main" id="{35496A25-7EB0-4238-BF3D-A06883AF60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0"/>
          <a:ext cx="1524000" cy="6858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9B7C-609A-465F-8A79-512D09A31BA1}">
  <sheetPr>
    <tabColor theme="5" tint="-0.249977111117893"/>
  </sheetPr>
  <dimension ref="A1:S35"/>
  <sheetViews>
    <sheetView topLeftCell="A4" workbookViewId="0">
      <selection activeCell="C12" sqref="C12:E12"/>
    </sheetView>
  </sheetViews>
  <sheetFormatPr baseColWidth="10" defaultRowHeight="18.75" customHeight="1" x14ac:dyDescent="0.25"/>
  <cols>
    <col min="1" max="1" width="3.7109375" style="261" customWidth="1"/>
    <col min="2" max="2" width="27.7109375" style="327" customWidth="1"/>
    <col min="3" max="3" width="15.85546875" style="307" customWidth="1"/>
    <col min="4" max="4" width="90.42578125" style="328" customWidth="1"/>
    <col min="5" max="5" width="18.7109375" style="176" customWidth="1"/>
    <col min="6" max="6" width="16.42578125" style="176" customWidth="1"/>
    <col min="7" max="7" width="22.28515625" style="176" customWidth="1"/>
    <col min="8" max="8" width="21.28515625" style="176" customWidth="1"/>
    <col min="9" max="256" width="11.42578125" style="176"/>
    <col min="257" max="257" width="3.7109375" style="176" customWidth="1"/>
    <col min="258" max="258" width="27.7109375" style="176" customWidth="1"/>
    <col min="259" max="259" width="15.85546875" style="176" customWidth="1"/>
    <col min="260" max="260" width="90.42578125" style="176" customWidth="1"/>
    <col min="261" max="261" width="18.7109375" style="176" customWidth="1"/>
    <col min="262" max="262" width="16.42578125" style="176" customWidth="1"/>
    <col min="263" max="263" width="22.28515625" style="176" customWidth="1"/>
    <col min="264" max="264" width="21.28515625" style="176" customWidth="1"/>
    <col min="265" max="512" width="11.42578125" style="176"/>
    <col min="513" max="513" width="3.7109375" style="176" customWidth="1"/>
    <col min="514" max="514" width="27.7109375" style="176" customWidth="1"/>
    <col min="515" max="515" width="15.85546875" style="176" customWidth="1"/>
    <col min="516" max="516" width="90.42578125" style="176" customWidth="1"/>
    <col min="517" max="517" width="18.7109375" style="176" customWidth="1"/>
    <col min="518" max="518" width="16.42578125" style="176" customWidth="1"/>
    <col min="519" max="519" width="22.28515625" style="176" customWidth="1"/>
    <col min="520" max="520" width="21.28515625" style="176" customWidth="1"/>
    <col min="521" max="768" width="11.42578125" style="176"/>
    <col min="769" max="769" width="3.7109375" style="176" customWidth="1"/>
    <col min="770" max="770" width="27.7109375" style="176" customWidth="1"/>
    <col min="771" max="771" width="15.85546875" style="176" customWidth="1"/>
    <col min="772" max="772" width="90.42578125" style="176" customWidth="1"/>
    <col min="773" max="773" width="18.7109375" style="176" customWidth="1"/>
    <col min="774" max="774" width="16.42578125" style="176" customWidth="1"/>
    <col min="775" max="775" width="22.28515625" style="176" customWidth="1"/>
    <col min="776" max="776" width="21.28515625" style="176" customWidth="1"/>
    <col min="777" max="1024" width="11.42578125" style="176"/>
    <col min="1025" max="1025" width="3.7109375" style="176" customWidth="1"/>
    <col min="1026" max="1026" width="27.7109375" style="176" customWidth="1"/>
    <col min="1027" max="1027" width="15.85546875" style="176" customWidth="1"/>
    <col min="1028" max="1028" width="90.42578125" style="176" customWidth="1"/>
    <col min="1029" max="1029" width="18.7109375" style="176" customWidth="1"/>
    <col min="1030" max="1030" width="16.42578125" style="176" customWidth="1"/>
    <col min="1031" max="1031" width="22.28515625" style="176" customWidth="1"/>
    <col min="1032" max="1032" width="21.28515625" style="176" customWidth="1"/>
    <col min="1033" max="1280" width="11.42578125" style="176"/>
    <col min="1281" max="1281" width="3.7109375" style="176" customWidth="1"/>
    <col min="1282" max="1282" width="27.7109375" style="176" customWidth="1"/>
    <col min="1283" max="1283" width="15.85546875" style="176" customWidth="1"/>
    <col min="1284" max="1284" width="90.42578125" style="176" customWidth="1"/>
    <col min="1285" max="1285" width="18.7109375" style="176" customWidth="1"/>
    <col min="1286" max="1286" width="16.42578125" style="176" customWidth="1"/>
    <col min="1287" max="1287" width="22.28515625" style="176" customWidth="1"/>
    <col min="1288" max="1288" width="21.28515625" style="176" customWidth="1"/>
    <col min="1289" max="1536" width="11.42578125" style="176"/>
    <col min="1537" max="1537" width="3.7109375" style="176" customWidth="1"/>
    <col min="1538" max="1538" width="27.7109375" style="176" customWidth="1"/>
    <col min="1539" max="1539" width="15.85546875" style="176" customWidth="1"/>
    <col min="1540" max="1540" width="90.42578125" style="176" customWidth="1"/>
    <col min="1541" max="1541" width="18.7109375" style="176" customWidth="1"/>
    <col min="1542" max="1542" width="16.42578125" style="176" customWidth="1"/>
    <col min="1543" max="1543" width="22.28515625" style="176" customWidth="1"/>
    <col min="1544" max="1544" width="21.28515625" style="176" customWidth="1"/>
    <col min="1545" max="1792" width="11.42578125" style="176"/>
    <col min="1793" max="1793" width="3.7109375" style="176" customWidth="1"/>
    <col min="1794" max="1794" width="27.7109375" style="176" customWidth="1"/>
    <col min="1795" max="1795" width="15.85546875" style="176" customWidth="1"/>
    <col min="1796" max="1796" width="90.42578125" style="176" customWidth="1"/>
    <col min="1797" max="1797" width="18.7109375" style="176" customWidth="1"/>
    <col min="1798" max="1798" width="16.42578125" style="176" customWidth="1"/>
    <col min="1799" max="1799" width="22.28515625" style="176" customWidth="1"/>
    <col min="1800" max="1800" width="21.28515625" style="176" customWidth="1"/>
    <col min="1801" max="2048" width="11.42578125" style="176"/>
    <col min="2049" max="2049" width="3.7109375" style="176" customWidth="1"/>
    <col min="2050" max="2050" width="27.7109375" style="176" customWidth="1"/>
    <col min="2051" max="2051" width="15.85546875" style="176" customWidth="1"/>
    <col min="2052" max="2052" width="90.42578125" style="176" customWidth="1"/>
    <col min="2053" max="2053" width="18.7109375" style="176" customWidth="1"/>
    <col min="2054" max="2054" width="16.42578125" style="176" customWidth="1"/>
    <col min="2055" max="2055" width="22.28515625" style="176" customWidth="1"/>
    <col min="2056" max="2056" width="21.28515625" style="176" customWidth="1"/>
    <col min="2057" max="2304" width="11.42578125" style="176"/>
    <col min="2305" max="2305" width="3.7109375" style="176" customWidth="1"/>
    <col min="2306" max="2306" width="27.7109375" style="176" customWidth="1"/>
    <col min="2307" max="2307" width="15.85546875" style="176" customWidth="1"/>
    <col min="2308" max="2308" width="90.42578125" style="176" customWidth="1"/>
    <col min="2309" max="2309" width="18.7109375" style="176" customWidth="1"/>
    <col min="2310" max="2310" width="16.42578125" style="176" customWidth="1"/>
    <col min="2311" max="2311" width="22.28515625" style="176" customWidth="1"/>
    <col min="2312" max="2312" width="21.28515625" style="176" customWidth="1"/>
    <col min="2313" max="2560" width="11.42578125" style="176"/>
    <col min="2561" max="2561" width="3.7109375" style="176" customWidth="1"/>
    <col min="2562" max="2562" width="27.7109375" style="176" customWidth="1"/>
    <col min="2563" max="2563" width="15.85546875" style="176" customWidth="1"/>
    <col min="2564" max="2564" width="90.42578125" style="176" customWidth="1"/>
    <col min="2565" max="2565" width="18.7109375" style="176" customWidth="1"/>
    <col min="2566" max="2566" width="16.42578125" style="176" customWidth="1"/>
    <col min="2567" max="2567" width="22.28515625" style="176" customWidth="1"/>
    <col min="2568" max="2568" width="21.28515625" style="176" customWidth="1"/>
    <col min="2569" max="2816" width="11.42578125" style="176"/>
    <col min="2817" max="2817" width="3.7109375" style="176" customWidth="1"/>
    <col min="2818" max="2818" width="27.7109375" style="176" customWidth="1"/>
    <col min="2819" max="2819" width="15.85546875" style="176" customWidth="1"/>
    <col min="2820" max="2820" width="90.42578125" style="176" customWidth="1"/>
    <col min="2821" max="2821" width="18.7109375" style="176" customWidth="1"/>
    <col min="2822" max="2822" width="16.42578125" style="176" customWidth="1"/>
    <col min="2823" max="2823" width="22.28515625" style="176" customWidth="1"/>
    <col min="2824" max="2824" width="21.28515625" style="176" customWidth="1"/>
    <col min="2825" max="3072" width="11.42578125" style="176"/>
    <col min="3073" max="3073" width="3.7109375" style="176" customWidth="1"/>
    <col min="3074" max="3074" width="27.7109375" style="176" customWidth="1"/>
    <col min="3075" max="3075" width="15.85546875" style="176" customWidth="1"/>
    <col min="3076" max="3076" width="90.42578125" style="176" customWidth="1"/>
    <col min="3077" max="3077" width="18.7109375" style="176" customWidth="1"/>
    <col min="3078" max="3078" width="16.42578125" style="176" customWidth="1"/>
    <col min="3079" max="3079" width="22.28515625" style="176" customWidth="1"/>
    <col min="3080" max="3080" width="21.28515625" style="176" customWidth="1"/>
    <col min="3081" max="3328" width="11.42578125" style="176"/>
    <col min="3329" max="3329" width="3.7109375" style="176" customWidth="1"/>
    <col min="3330" max="3330" width="27.7109375" style="176" customWidth="1"/>
    <col min="3331" max="3331" width="15.85546875" style="176" customWidth="1"/>
    <col min="3332" max="3332" width="90.42578125" style="176" customWidth="1"/>
    <col min="3333" max="3333" width="18.7109375" style="176" customWidth="1"/>
    <col min="3334" max="3334" width="16.42578125" style="176" customWidth="1"/>
    <col min="3335" max="3335" width="22.28515625" style="176" customWidth="1"/>
    <col min="3336" max="3336" width="21.28515625" style="176" customWidth="1"/>
    <col min="3337" max="3584" width="11.42578125" style="176"/>
    <col min="3585" max="3585" width="3.7109375" style="176" customWidth="1"/>
    <col min="3586" max="3586" width="27.7109375" style="176" customWidth="1"/>
    <col min="3587" max="3587" width="15.85546875" style="176" customWidth="1"/>
    <col min="3588" max="3588" width="90.42578125" style="176" customWidth="1"/>
    <col min="3589" max="3589" width="18.7109375" style="176" customWidth="1"/>
    <col min="3590" max="3590" width="16.42578125" style="176" customWidth="1"/>
    <col min="3591" max="3591" width="22.28515625" style="176" customWidth="1"/>
    <col min="3592" max="3592" width="21.28515625" style="176" customWidth="1"/>
    <col min="3593" max="3840" width="11.42578125" style="176"/>
    <col min="3841" max="3841" width="3.7109375" style="176" customWidth="1"/>
    <col min="3842" max="3842" width="27.7109375" style="176" customWidth="1"/>
    <col min="3843" max="3843" width="15.85546875" style="176" customWidth="1"/>
    <col min="3844" max="3844" width="90.42578125" style="176" customWidth="1"/>
    <col min="3845" max="3845" width="18.7109375" style="176" customWidth="1"/>
    <col min="3846" max="3846" width="16.42578125" style="176" customWidth="1"/>
    <col min="3847" max="3847" width="22.28515625" style="176" customWidth="1"/>
    <col min="3848" max="3848" width="21.28515625" style="176" customWidth="1"/>
    <col min="3849" max="4096" width="11.42578125" style="176"/>
    <col min="4097" max="4097" width="3.7109375" style="176" customWidth="1"/>
    <col min="4098" max="4098" width="27.7109375" style="176" customWidth="1"/>
    <col min="4099" max="4099" width="15.85546875" style="176" customWidth="1"/>
    <col min="4100" max="4100" width="90.42578125" style="176" customWidth="1"/>
    <col min="4101" max="4101" width="18.7109375" style="176" customWidth="1"/>
    <col min="4102" max="4102" width="16.42578125" style="176" customWidth="1"/>
    <col min="4103" max="4103" width="22.28515625" style="176" customWidth="1"/>
    <col min="4104" max="4104" width="21.28515625" style="176" customWidth="1"/>
    <col min="4105" max="4352" width="11.42578125" style="176"/>
    <col min="4353" max="4353" width="3.7109375" style="176" customWidth="1"/>
    <col min="4354" max="4354" width="27.7109375" style="176" customWidth="1"/>
    <col min="4355" max="4355" width="15.85546875" style="176" customWidth="1"/>
    <col min="4356" max="4356" width="90.42578125" style="176" customWidth="1"/>
    <col min="4357" max="4357" width="18.7109375" style="176" customWidth="1"/>
    <col min="4358" max="4358" width="16.42578125" style="176" customWidth="1"/>
    <col min="4359" max="4359" width="22.28515625" style="176" customWidth="1"/>
    <col min="4360" max="4360" width="21.28515625" style="176" customWidth="1"/>
    <col min="4361" max="4608" width="11.42578125" style="176"/>
    <col min="4609" max="4609" width="3.7109375" style="176" customWidth="1"/>
    <col min="4610" max="4610" width="27.7109375" style="176" customWidth="1"/>
    <col min="4611" max="4611" width="15.85546875" style="176" customWidth="1"/>
    <col min="4612" max="4612" width="90.42578125" style="176" customWidth="1"/>
    <col min="4613" max="4613" width="18.7109375" style="176" customWidth="1"/>
    <col min="4614" max="4614" width="16.42578125" style="176" customWidth="1"/>
    <col min="4615" max="4615" width="22.28515625" style="176" customWidth="1"/>
    <col min="4616" max="4616" width="21.28515625" style="176" customWidth="1"/>
    <col min="4617" max="4864" width="11.42578125" style="176"/>
    <col min="4865" max="4865" width="3.7109375" style="176" customWidth="1"/>
    <col min="4866" max="4866" width="27.7109375" style="176" customWidth="1"/>
    <col min="4867" max="4867" width="15.85546875" style="176" customWidth="1"/>
    <col min="4868" max="4868" width="90.42578125" style="176" customWidth="1"/>
    <col min="4869" max="4869" width="18.7109375" style="176" customWidth="1"/>
    <col min="4870" max="4870" width="16.42578125" style="176" customWidth="1"/>
    <col min="4871" max="4871" width="22.28515625" style="176" customWidth="1"/>
    <col min="4872" max="4872" width="21.28515625" style="176" customWidth="1"/>
    <col min="4873" max="5120" width="11.42578125" style="176"/>
    <col min="5121" max="5121" width="3.7109375" style="176" customWidth="1"/>
    <col min="5122" max="5122" width="27.7109375" style="176" customWidth="1"/>
    <col min="5123" max="5123" width="15.85546875" style="176" customWidth="1"/>
    <col min="5124" max="5124" width="90.42578125" style="176" customWidth="1"/>
    <col min="5125" max="5125" width="18.7109375" style="176" customWidth="1"/>
    <col min="5126" max="5126" width="16.42578125" style="176" customWidth="1"/>
    <col min="5127" max="5127" width="22.28515625" style="176" customWidth="1"/>
    <col min="5128" max="5128" width="21.28515625" style="176" customWidth="1"/>
    <col min="5129" max="5376" width="11.42578125" style="176"/>
    <col min="5377" max="5377" width="3.7109375" style="176" customWidth="1"/>
    <col min="5378" max="5378" width="27.7109375" style="176" customWidth="1"/>
    <col min="5379" max="5379" width="15.85546875" style="176" customWidth="1"/>
    <col min="5380" max="5380" width="90.42578125" style="176" customWidth="1"/>
    <col min="5381" max="5381" width="18.7109375" style="176" customWidth="1"/>
    <col min="5382" max="5382" width="16.42578125" style="176" customWidth="1"/>
    <col min="5383" max="5383" width="22.28515625" style="176" customWidth="1"/>
    <col min="5384" max="5384" width="21.28515625" style="176" customWidth="1"/>
    <col min="5385" max="5632" width="11.42578125" style="176"/>
    <col min="5633" max="5633" width="3.7109375" style="176" customWidth="1"/>
    <col min="5634" max="5634" width="27.7109375" style="176" customWidth="1"/>
    <col min="5635" max="5635" width="15.85546875" style="176" customWidth="1"/>
    <col min="5636" max="5636" width="90.42578125" style="176" customWidth="1"/>
    <col min="5637" max="5637" width="18.7109375" style="176" customWidth="1"/>
    <col min="5638" max="5638" width="16.42578125" style="176" customWidth="1"/>
    <col min="5639" max="5639" width="22.28515625" style="176" customWidth="1"/>
    <col min="5640" max="5640" width="21.28515625" style="176" customWidth="1"/>
    <col min="5641" max="5888" width="11.42578125" style="176"/>
    <col min="5889" max="5889" width="3.7109375" style="176" customWidth="1"/>
    <col min="5890" max="5890" width="27.7109375" style="176" customWidth="1"/>
    <col min="5891" max="5891" width="15.85546875" style="176" customWidth="1"/>
    <col min="5892" max="5892" width="90.42578125" style="176" customWidth="1"/>
    <col min="5893" max="5893" width="18.7109375" style="176" customWidth="1"/>
    <col min="5894" max="5894" width="16.42578125" style="176" customWidth="1"/>
    <col min="5895" max="5895" width="22.28515625" style="176" customWidth="1"/>
    <col min="5896" max="5896" width="21.28515625" style="176" customWidth="1"/>
    <col min="5897" max="6144" width="11.42578125" style="176"/>
    <col min="6145" max="6145" width="3.7109375" style="176" customWidth="1"/>
    <col min="6146" max="6146" width="27.7109375" style="176" customWidth="1"/>
    <col min="6147" max="6147" width="15.85546875" style="176" customWidth="1"/>
    <col min="6148" max="6148" width="90.42578125" style="176" customWidth="1"/>
    <col min="6149" max="6149" width="18.7109375" style="176" customWidth="1"/>
    <col min="6150" max="6150" width="16.42578125" style="176" customWidth="1"/>
    <col min="6151" max="6151" width="22.28515625" style="176" customWidth="1"/>
    <col min="6152" max="6152" width="21.28515625" style="176" customWidth="1"/>
    <col min="6153" max="6400" width="11.42578125" style="176"/>
    <col min="6401" max="6401" width="3.7109375" style="176" customWidth="1"/>
    <col min="6402" max="6402" width="27.7109375" style="176" customWidth="1"/>
    <col min="6403" max="6403" width="15.85546875" style="176" customWidth="1"/>
    <col min="6404" max="6404" width="90.42578125" style="176" customWidth="1"/>
    <col min="6405" max="6405" width="18.7109375" style="176" customWidth="1"/>
    <col min="6406" max="6406" width="16.42578125" style="176" customWidth="1"/>
    <col min="6407" max="6407" width="22.28515625" style="176" customWidth="1"/>
    <col min="6408" max="6408" width="21.28515625" style="176" customWidth="1"/>
    <col min="6409" max="6656" width="11.42578125" style="176"/>
    <col min="6657" max="6657" width="3.7109375" style="176" customWidth="1"/>
    <col min="6658" max="6658" width="27.7109375" style="176" customWidth="1"/>
    <col min="6659" max="6659" width="15.85546875" style="176" customWidth="1"/>
    <col min="6660" max="6660" width="90.42578125" style="176" customWidth="1"/>
    <col min="6661" max="6661" width="18.7109375" style="176" customWidth="1"/>
    <col min="6662" max="6662" width="16.42578125" style="176" customWidth="1"/>
    <col min="6663" max="6663" width="22.28515625" style="176" customWidth="1"/>
    <col min="6664" max="6664" width="21.28515625" style="176" customWidth="1"/>
    <col min="6665" max="6912" width="11.42578125" style="176"/>
    <col min="6913" max="6913" width="3.7109375" style="176" customWidth="1"/>
    <col min="6914" max="6914" width="27.7109375" style="176" customWidth="1"/>
    <col min="6915" max="6915" width="15.85546875" style="176" customWidth="1"/>
    <col min="6916" max="6916" width="90.42578125" style="176" customWidth="1"/>
    <col min="6917" max="6917" width="18.7109375" style="176" customWidth="1"/>
    <col min="6918" max="6918" width="16.42578125" style="176" customWidth="1"/>
    <col min="6919" max="6919" width="22.28515625" style="176" customWidth="1"/>
    <col min="6920" max="6920" width="21.28515625" style="176" customWidth="1"/>
    <col min="6921" max="7168" width="11.42578125" style="176"/>
    <col min="7169" max="7169" width="3.7109375" style="176" customWidth="1"/>
    <col min="7170" max="7170" width="27.7109375" style="176" customWidth="1"/>
    <col min="7171" max="7171" width="15.85546875" style="176" customWidth="1"/>
    <col min="7172" max="7172" width="90.42578125" style="176" customWidth="1"/>
    <col min="7173" max="7173" width="18.7109375" style="176" customWidth="1"/>
    <col min="7174" max="7174" width="16.42578125" style="176" customWidth="1"/>
    <col min="7175" max="7175" width="22.28515625" style="176" customWidth="1"/>
    <col min="7176" max="7176" width="21.28515625" style="176" customWidth="1"/>
    <col min="7177" max="7424" width="11.42578125" style="176"/>
    <col min="7425" max="7425" width="3.7109375" style="176" customWidth="1"/>
    <col min="7426" max="7426" width="27.7109375" style="176" customWidth="1"/>
    <col min="7427" max="7427" width="15.85546875" style="176" customWidth="1"/>
    <col min="7428" max="7428" width="90.42578125" style="176" customWidth="1"/>
    <col min="7429" max="7429" width="18.7109375" style="176" customWidth="1"/>
    <col min="7430" max="7430" width="16.42578125" style="176" customWidth="1"/>
    <col min="7431" max="7431" width="22.28515625" style="176" customWidth="1"/>
    <col min="7432" max="7432" width="21.28515625" style="176" customWidth="1"/>
    <col min="7433" max="7680" width="11.42578125" style="176"/>
    <col min="7681" max="7681" width="3.7109375" style="176" customWidth="1"/>
    <col min="7682" max="7682" width="27.7109375" style="176" customWidth="1"/>
    <col min="7683" max="7683" width="15.85546875" style="176" customWidth="1"/>
    <col min="7684" max="7684" width="90.42578125" style="176" customWidth="1"/>
    <col min="7685" max="7685" width="18.7109375" style="176" customWidth="1"/>
    <col min="7686" max="7686" width="16.42578125" style="176" customWidth="1"/>
    <col min="7687" max="7687" width="22.28515625" style="176" customWidth="1"/>
    <col min="7688" max="7688" width="21.28515625" style="176" customWidth="1"/>
    <col min="7689" max="7936" width="11.42578125" style="176"/>
    <col min="7937" max="7937" width="3.7109375" style="176" customWidth="1"/>
    <col min="7938" max="7938" width="27.7109375" style="176" customWidth="1"/>
    <col min="7939" max="7939" width="15.85546875" style="176" customWidth="1"/>
    <col min="7940" max="7940" width="90.42578125" style="176" customWidth="1"/>
    <col min="7941" max="7941" width="18.7109375" style="176" customWidth="1"/>
    <col min="7942" max="7942" width="16.42578125" style="176" customWidth="1"/>
    <col min="7943" max="7943" width="22.28515625" style="176" customWidth="1"/>
    <col min="7944" max="7944" width="21.28515625" style="176" customWidth="1"/>
    <col min="7945" max="8192" width="11.42578125" style="176"/>
    <col min="8193" max="8193" width="3.7109375" style="176" customWidth="1"/>
    <col min="8194" max="8194" width="27.7109375" style="176" customWidth="1"/>
    <col min="8195" max="8195" width="15.85546875" style="176" customWidth="1"/>
    <col min="8196" max="8196" width="90.42578125" style="176" customWidth="1"/>
    <col min="8197" max="8197" width="18.7109375" style="176" customWidth="1"/>
    <col min="8198" max="8198" width="16.42578125" style="176" customWidth="1"/>
    <col min="8199" max="8199" width="22.28515625" style="176" customWidth="1"/>
    <col min="8200" max="8200" width="21.28515625" style="176" customWidth="1"/>
    <col min="8201" max="8448" width="11.42578125" style="176"/>
    <col min="8449" max="8449" width="3.7109375" style="176" customWidth="1"/>
    <col min="8450" max="8450" width="27.7109375" style="176" customWidth="1"/>
    <col min="8451" max="8451" width="15.85546875" style="176" customWidth="1"/>
    <col min="8452" max="8452" width="90.42578125" style="176" customWidth="1"/>
    <col min="8453" max="8453" width="18.7109375" style="176" customWidth="1"/>
    <col min="8454" max="8454" width="16.42578125" style="176" customWidth="1"/>
    <col min="8455" max="8455" width="22.28515625" style="176" customWidth="1"/>
    <col min="8456" max="8456" width="21.28515625" style="176" customWidth="1"/>
    <col min="8457" max="8704" width="11.42578125" style="176"/>
    <col min="8705" max="8705" width="3.7109375" style="176" customWidth="1"/>
    <col min="8706" max="8706" width="27.7109375" style="176" customWidth="1"/>
    <col min="8707" max="8707" width="15.85546875" style="176" customWidth="1"/>
    <col min="8708" max="8708" width="90.42578125" style="176" customWidth="1"/>
    <col min="8709" max="8709" width="18.7109375" style="176" customWidth="1"/>
    <col min="8710" max="8710" width="16.42578125" style="176" customWidth="1"/>
    <col min="8711" max="8711" width="22.28515625" style="176" customWidth="1"/>
    <col min="8712" max="8712" width="21.28515625" style="176" customWidth="1"/>
    <col min="8713" max="8960" width="11.42578125" style="176"/>
    <col min="8961" max="8961" width="3.7109375" style="176" customWidth="1"/>
    <col min="8962" max="8962" width="27.7109375" style="176" customWidth="1"/>
    <col min="8963" max="8963" width="15.85546875" style="176" customWidth="1"/>
    <col min="8964" max="8964" width="90.42578125" style="176" customWidth="1"/>
    <col min="8965" max="8965" width="18.7109375" style="176" customWidth="1"/>
    <col min="8966" max="8966" width="16.42578125" style="176" customWidth="1"/>
    <col min="8967" max="8967" width="22.28515625" style="176" customWidth="1"/>
    <col min="8968" max="8968" width="21.28515625" style="176" customWidth="1"/>
    <col min="8969" max="9216" width="11.42578125" style="176"/>
    <col min="9217" max="9217" width="3.7109375" style="176" customWidth="1"/>
    <col min="9218" max="9218" width="27.7109375" style="176" customWidth="1"/>
    <col min="9219" max="9219" width="15.85546875" style="176" customWidth="1"/>
    <col min="9220" max="9220" width="90.42578125" style="176" customWidth="1"/>
    <col min="9221" max="9221" width="18.7109375" style="176" customWidth="1"/>
    <col min="9222" max="9222" width="16.42578125" style="176" customWidth="1"/>
    <col min="9223" max="9223" width="22.28515625" style="176" customWidth="1"/>
    <col min="9224" max="9224" width="21.28515625" style="176" customWidth="1"/>
    <col min="9225" max="9472" width="11.42578125" style="176"/>
    <col min="9473" max="9473" width="3.7109375" style="176" customWidth="1"/>
    <col min="9474" max="9474" width="27.7109375" style="176" customWidth="1"/>
    <col min="9475" max="9475" width="15.85546875" style="176" customWidth="1"/>
    <col min="9476" max="9476" width="90.42578125" style="176" customWidth="1"/>
    <col min="9477" max="9477" width="18.7109375" style="176" customWidth="1"/>
    <col min="9478" max="9478" width="16.42578125" style="176" customWidth="1"/>
    <col min="9479" max="9479" width="22.28515625" style="176" customWidth="1"/>
    <col min="9480" max="9480" width="21.28515625" style="176" customWidth="1"/>
    <col min="9481" max="9728" width="11.42578125" style="176"/>
    <col min="9729" max="9729" width="3.7109375" style="176" customWidth="1"/>
    <col min="9730" max="9730" width="27.7109375" style="176" customWidth="1"/>
    <col min="9731" max="9731" width="15.85546875" style="176" customWidth="1"/>
    <col min="9732" max="9732" width="90.42578125" style="176" customWidth="1"/>
    <col min="9733" max="9733" width="18.7109375" style="176" customWidth="1"/>
    <col min="9734" max="9734" width="16.42578125" style="176" customWidth="1"/>
    <col min="9735" max="9735" width="22.28515625" style="176" customWidth="1"/>
    <col min="9736" max="9736" width="21.28515625" style="176" customWidth="1"/>
    <col min="9737" max="9984" width="11.42578125" style="176"/>
    <col min="9985" max="9985" width="3.7109375" style="176" customWidth="1"/>
    <col min="9986" max="9986" width="27.7109375" style="176" customWidth="1"/>
    <col min="9987" max="9987" width="15.85546875" style="176" customWidth="1"/>
    <col min="9988" max="9988" width="90.42578125" style="176" customWidth="1"/>
    <col min="9989" max="9989" width="18.7109375" style="176" customWidth="1"/>
    <col min="9990" max="9990" width="16.42578125" style="176" customWidth="1"/>
    <col min="9991" max="9991" width="22.28515625" style="176" customWidth="1"/>
    <col min="9992" max="9992" width="21.28515625" style="176" customWidth="1"/>
    <col min="9993" max="10240" width="11.42578125" style="176"/>
    <col min="10241" max="10241" width="3.7109375" style="176" customWidth="1"/>
    <col min="10242" max="10242" width="27.7109375" style="176" customWidth="1"/>
    <col min="10243" max="10243" width="15.85546875" style="176" customWidth="1"/>
    <col min="10244" max="10244" width="90.42578125" style="176" customWidth="1"/>
    <col min="10245" max="10245" width="18.7109375" style="176" customWidth="1"/>
    <col min="10246" max="10246" width="16.42578125" style="176" customWidth="1"/>
    <col min="10247" max="10247" width="22.28515625" style="176" customWidth="1"/>
    <col min="10248" max="10248" width="21.28515625" style="176" customWidth="1"/>
    <col min="10249" max="10496" width="11.42578125" style="176"/>
    <col min="10497" max="10497" width="3.7109375" style="176" customWidth="1"/>
    <col min="10498" max="10498" width="27.7109375" style="176" customWidth="1"/>
    <col min="10499" max="10499" width="15.85546875" style="176" customWidth="1"/>
    <col min="10500" max="10500" width="90.42578125" style="176" customWidth="1"/>
    <col min="10501" max="10501" width="18.7109375" style="176" customWidth="1"/>
    <col min="10502" max="10502" width="16.42578125" style="176" customWidth="1"/>
    <col min="10503" max="10503" width="22.28515625" style="176" customWidth="1"/>
    <col min="10504" max="10504" width="21.28515625" style="176" customWidth="1"/>
    <col min="10505" max="10752" width="11.42578125" style="176"/>
    <col min="10753" max="10753" width="3.7109375" style="176" customWidth="1"/>
    <col min="10754" max="10754" width="27.7109375" style="176" customWidth="1"/>
    <col min="10755" max="10755" width="15.85546875" style="176" customWidth="1"/>
    <col min="10756" max="10756" width="90.42578125" style="176" customWidth="1"/>
    <col min="10757" max="10757" width="18.7109375" style="176" customWidth="1"/>
    <col min="10758" max="10758" width="16.42578125" style="176" customWidth="1"/>
    <col min="10759" max="10759" width="22.28515625" style="176" customWidth="1"/>
    <col min="10760" max="10760" width="21.28515625" style="176" customWidth="1"/>
    <col min="10761" max="11008" width="11.42578125" style="176"/>
    <col min="11009" max="11009" width="3.7109375" style="176" customWidth="1"/>
    <col min="11010" max="11010" width="27.7109375" style="176" customWidth="1"/>
    <col min="11011" max="11011" width="15.85546875" style="176" customWidth="1"/>
    <col min="11012" max="11012" width="90.42578125" style="176" customWidth="1"/>
    <col min="11013" max="11013" width="18.7109375" style="176" customWidth="1"/>
    <col min="11014" max="11014" width="16.42578125" style="176" customWidth="1"/>
    <col min="11015" max="11015" width="22.28515625" style="176" customWidth="1"/>
    <col min="11016" max="11016" width="21.28515625" style="176" customWidth="1"/>
    <col min="11017" max="11264" width="11.42578125" style="176"/>
    <col min="11265" max="11265" width="3.7109375" style="176" customWidth="1"/>
    <col min="11266" max="11266" width="27.7109375" style="176" customWidth="1"/>
    <col min="11267" max="11267" width="15.85546875" style="176" customWidth="1"/>
    <col min="11268" max="11268" width="90.42578125" style="176" customWidth="1"/>
    <col min="11269" max="11269" width="18.7109375" style="176" customWidth="1"/>
    <col min="11270" max="11270" width="16.42578125" style="176" customWidth="1"/>
    <col min="11271" max="11271" width="22.28515625" style="176" customWidth="1"/>
    <col min="11272" max="11272" width="21.28515625" style="176" customWidth="1"/>
    <col min="11273" max="11520" width="11.42578125" style="176"/>
    <col min="11521" max="11521" width="3.7109375" style="176" customWidth="1"/>
    <col min="11522" max="11522" width="27.7109375" style="176" customWidth="1"/>
    <col min="11523" max="11523" width="15.85546875" style="176" customWidth="1"/>
    <col min="11524" max="11524" width="90.42578125" style="176" customWidth="1"/>
    <col min="11525" max="11525" width="18.7109375" style="176" customWidth="1"/>
    <col min="11526" max="11526" width="16.42578125" style="176" customWidth="1"/>
    <col min="11527" max="11527" width="22.28515625" style="176" customWidth="1"/>
    <col min="11528" max="11528" width="21.28515625" style="176" customWidth="1"/>
    <col min="11529" max="11776" width="11.42578125" style="176"/>
    <col min="11777" max="11777" width="3.7109375" style="176" customWidth="1"/>
    <col min="11778" max="11778" width="27.7109375" style="176" customWidth="1"/>
    <col min="11779" max="11779" width="15.85546875" style="176" customWidth="1"/>
    <col min="11780" max="11780" width="90.42578125" style="176" customWidth="1"/>
    <col min="11781" max="11781" width="18.7109375" style="176" customWidth="1"/>
    <col min="11782" max="11782" width="16.42578125" style="176" customWidth="1"/>
    <col min="11783" max="11783" width="22.28515625" style="176" customWidth="1"/>
    <col min="11784" max="11784" width="21.28515625" style="176" customWidth="1"/>
    <col min="11785" max="12032" width="11.42578125" style="176"/>
    <col min="12033" max="12033" width="3.7109375" style="176" customWidth="1"/>
    <col min="12034" max="12034" width="27.7109375" style="176" customWidth="1"/>
    <col min="12035" max="12035" width="15.85546875" style="176" customWidth="1"/>
    <col min="12036" max="12036" width="90.42578125" style="176" customWidth="1"/>
    <col min="12037" max="12037" width="18.7109375" style="176" customWidth="1"/>
    <col min="12038" max="12038" width="16.42578125" style="176" customWidth="1"/>
    <col min="12039" max="12039" width="22.28515625" style="176" customWidth="1"/>
    <col min="12040" max="12040" width="21.28515625" style="176" customWidth="1"/>
    <col min="12041" max="12288" width="11.42578125" style="176"/>
    <col min="12289" max="12289" width="3.7109375" style="176" customWidth="1"/>
    <col min="12290" max="12290" width="27.7109375" style="176" customWidth="1"/>
    <col min="12291" max="12291" width="15.85546875" style="176" customWidth="1"/>
    <col min="12292" max="12292" width="90.42578125" style="176" customWidth="1"/>
    <col min="12293" max="12293" width="18.7109375" style="176" customWidth="1"/>
    <col min="12294" max="12294" width="16.42578125" style="176" customWidth="1"/>
    <col min="12295" max="12295" width="22.28515625" style="176" customWidth="1"/>
    <col min="12296" max="12296" width="21.28515625" style="176" customWidth="1"/>
    <col min="12297" max="12544" width="11.42578125" style="176"/>
    <col min="12545" max="12545" width="3.7109375" style="176" customWidth="1"/>
    <col min="12546" max="12546" width="27.7109375" style="176" customWidth="1"/>
    <col min="12547" max="12547" width="15.85546875" style="176" customWidth="1"/>
    <col min="12548" max="12548" width="90.42578125" style="176" customWidth="1"/>
    <col min="12549" max="12549" width="18.7109375" style="176" customWidth="1"/>
    <col min="12550" max="12550" width="16.42578125" style="176" customWidth="1"/>
    <col min="12551" max="12551" width="22.28515625" style="176" customWidth="1"/>
    <col min="12552" max="12552" width="21.28515625" style="176" customWidth="1"/>
    <col min="12553" max="12800" width="11.42578125" style="176"/>
    <col min="12801" max="12801" width="3.7109375" style="176" customWidth="1"/>
    <col min="12802" max="12802" width="27.7109375" style="176" customWidth="1"/>
    <col min="12803" max="12803" width="15.85546875" style="176" customWidth="1"/>
    <col min="12804" max="12804" width="90.42578125" style="176" customWidth="1"/>
    <col min="12805" max="12805" width="18.7109375" style="176" customWidth="1"/>
    <col min="12806" max="12806" width="16.42578125" style="176" customWidth="1"/>
    <col min="12807" max="12807" width="22.28515625" style="176" customWidth="1"/>
    <col min="12808" max="12808" width="21.28515625" style="176" customWidth="1"/>
    <col min="12809" max="13056" width="11.42578125" style="176"/>
    <col min="13057" max="13057" width="3.7109375" style="176" customWidth="1"/>
    <col min="13058" max="13058" width="27.7109375" style="176" customWidth="1"/>
    <col min="13059" max="13059" width="15.85546875" style="176" customWidth="1"/>
    <col min="13060" max="13060" width="90.42578125" style="176" customWidth="1"/>
    <col min="13061" max="13061" width="18.7109375" style="176" customWidth="1"/>
    <col min="13062" max="13062" width="16.42578125" style="176" customWidth="1"/>
    <col min="13063" max="13063" width="22.28515625" style="176" customWidth="1"/>
    <col min="13064" max="13064" width="21.28515625" style="176" customWidth="1"/>
    <col min="13065" max="13312" width="11.42578125" style="176"/>
    <col min="13313" max="13313" width="3.7109375" style="176" customWidth="1"/>
    <col min="13314" max="13314" width="27.7109375" style="176" customWidth="1"/>
    <col min="13315" max="13315" width="15.85546875" style="176" customWidth="1"/>
    <col min="13316" max="13316" width="90.42578125" style="176" customWidth="1"/>
    <col min="13317" max="13317" width="18.7109375" style="176" customWidth="1"/>
    <col min="13318" max="13318" width="16.42578125" style="176" customWidth="1"/>
    <col min="13319" max="13319" width="22.28515625" style="176" customWidth="1"/>
    <col min="13320" max="13320" width="21.28515625" style="176" customWidth="1"/>
    <col min="13321" max="13568" width="11.42578125" style="176"/>
    <col min="13569" max="13569" width="3.7109375" style="176" customWidth="1"/>
    <col min="13570" max="13570" width="27.7109375" style="176" customWidth="1"/>
    <col min="13571" max="13571" width="15.85546875" style="176" customWidth="1"/>
    <col min="13572" max="13572" width="90.42578125" style="176" customWidth="1"/>
    <col min="13573" max="13573" width="18.7109375" style="176" customWidth="1"/>
    <col min="13574" max="13574" width="16.42578125" style="176" customWidth="1"/>
    <col min="13575" max="13575" width="22.28515625" style="176" customWidth="1"/>
    <col min="13576" max="13576" width="21.28515625" style="176" customWidth="1"/>
    <col min="13577" max="13824" width="11.42578125" style="176"/>
    <col min="13825" max="13825" width="3.7109375" style="176" customWidth="1"/>
    <col min="13826" max="13826" width="27.7109375" style="176" customWidth="1"/>
    <col min="13827" max="13827" width="15.85546875" style="176" customWidth="1"/>
    <col min="13828" max="13828" width="90.42578125" style="176" customWidth="1"/>
    <col min="13829" max="13829" width="18.7109375" style="176" customWidth="1"/>
    <col min="13830" max="13830" width="16.42578125" style="176" customWidth="1"/>
    <col min="13831" max="13831" width="22.28515625" style="176" customWidth="1"/>
    <col min="13832" max="13832" width="21.28515625" style="176" customWidth="1"/>
    <col min="13833" max="14080" width="11.42578125" style="176"/>
    <col min="14081" max="14081" width="3.7109375" style="176" customWidth="1"/>
    <col min="14082" max="14082" width="27.7109375" style="176" customWidth="1"/>
    <col min="14083" max="14083" width="15.85546875" style="176" customWidth="1"/>
    <col min="14084" max="14084" width="90.42578125" style="176" customWidth="1"/>
    <col min="14085" max="14085" width="18.7109375" style="176" customWidth="1"/>
    <col min="14086" max="14086" width="16.42578125" style="176" customWidth="1"/>
    <col min="14087" max="14087" width="22.28515625" style="176" customWidth="1"/>
    <col min="14088" max="14088" width="21.28515625" style="176" customWidth="1"/>
    <col min="14089" max="14336" width="11.42578125" style="176"/>
    <col min="14337" max="14337" width="3.7109375" style="176" customWidth="1"/>
    <col min="14338" max="14338" width="27.7109375" style="176" customWidth="1"/>
    <col min="14339" max="14339" width="15.85546875" style="176" customWidth="1"/>
    <col min="14340" max="14340" width="90.42578125" style="176" customWidth="1"/>
    <col min="14341" max="14341" width="18.7109375" style="176" customWidth="1"/>
    <col min="14342" max="14342" width="16.42578125" style="176" customWidth="1"/>
    <col min="14343" max="14343" width="22.28515625" style="176" customWidth="1"/>
    <col min="14344" max="14344" width="21.28515625" style="176" customWidth="1"/>
    <col min="14345" max="14592" width="11.42578125" style="176"/>
    <col min="14593" max="14593" width="3.7109375" style="176" customWidth="1"/>
    <col min="14594" max="14594" width="27.7109375" style="176" customWidth="1"/>
    <col min="14595" max="14595" width="15.85546875" style="176" customWidth="1"/>
    <col min="14596" max="14596" width="90.42578125" style="176" customWidth="1"/>
    <col min="14597" max="14597" width="18.7109375" style="176" customWidth="1"/>
    <col min="14598" max="14598" width="16.42578125" style="176" customWidth="1"/>
    <col min="14599" max="14599" width="22.28515625" style="176" customWidth="1"/>
    <col min="14600" max="14600" width="21.28515625" style="176" customWidth="1"/>
    <col min="14601" max="14848" width="11.42578125" style="176"/>
    <col min="14849" max="14849" width="3.7109375" style="176" customWidth="1"/>
    <col min="14850" max="14850" width="27.7109375" style="176" customWidth="1"/>
    <col min="14851" max="14851" width="15.85546875" style="176" customWidth="1"/>
    <col min="14852" max="14852" width="90.42578125" style="176" customWidth="1"/>
    <col min="14853" max="14853" width="18.7109375" style="176" customWidth="1"/>
    <col min="14854" max="14854" width="16.42578125" style="176" customWidth="1"/>
    <col min="14855" max="14855" width="22.28515625" style="176" customWidth="1"/>
    <col min="14856" max="14856" width="21.28515625" style="176" customWidth="1"/>
    <col min="14857" max="15104" width="11.42578125" style="176"/>
    <col min="15105" max="15105" width="3.7109375" style="176" customWidth="1"/>
    <col min="15106" max="15106" width="27.7109375" style="176" customWidth="1"/>
    <col min="15107" max="15107" width="15.85546875" style="176" customWidth="1"/>
    <col min="15108" max="15108" width="90.42578125" style="176" customWidth="1"/>
    <col min="15109" max="15109" width="18.7109375" style="176" customWidth="1"/>
    <col min="15110" max="15110" width="16.42578125" style="176" customWidth="1"/>
    <col min="15111" max="15111" width="22.28515625" style="176" customWidth="1"/>
    <col min="15112" max="15112" width="21.28515625" style="176" customWidth="1"/>
    <col min="15113" max="15360" width="11.42578125" style="176"/>
    <col min="15361" max="15361" width="3.7109375" style="176" customWidth="1"/>
    <col min="15362" max="15362" width="27.7109375" style="176" customWidth="1"/>
    <col min="15363" max="15363" width="15.85546875" style="176" customWidth="1"/>
    <col min="15364" max="15364" width="90.42578125" style="176" customWidth="1"/>
    <col min="15365" max="15365" width="18.7109375" style="176" customWidth="1"/>
    <col min="15366" max="15366" width="16.42578125" style="176" customWidth="1"/>
    <col min="15367" max="15367" width="22.28515625" style="176" customWidth="1"/>
    <col min="15368" max="15368" width="21.28515625" style="176" customWidth="1"/>
    <col min="15369" max="15616" width="11.42578125" style="176"/>
    <col min="15617" max="15617" width="3.7109375" style="176" customWidth="1"/>
    <col min="15618" max="15618" width="27.7109375" style="176" customWidth="1"/>
    <col min="15619" max="15619" width="15.85546875" style="176" customWidth="1"/>
    <col min="15620" max="15620" width="90.42578125" style="176" customWidth="1"/>
    <col min="15621" max="15621" width="18.7109375" style="176" customWidth="1"/>
    <col min="15622" max="15622" width="16.42578125" style="176" customWidth="1"/>
    <col min="15623" max="15623" width="22.28515625" style="176" customWidth="1"/>
    <col min="15624" max="15624" width="21.28515625" style="176" customWidth="1"/>
    <col min="15625" max="15872" width="11.42578125" style="176"/>
    <col min="15873" max="15873" width="3.7109375" style="176" customWidth="1"/>
    <col min="15874" max="15874" width="27.7109375" style="176" customWidth="1"/>
    <col min="15875" max="15875" width="15.85546875" style="176" customWidth="1"/>
    <col min="15876" max="15876" width="90.42578125" style="176" customWidth="1"/>
    <col min="15877" max="15877" width="18.7109375" style="176" customWidth="1"/>
    <col min="15878" max="15878" width="16.42578125" style="176" customWidth="1"/>
    <col min="15879" max="15879" width="22.28515625" style="176" customWidth="1"/>
    <col min="15880" max="15880" width="21.28515625" style="176" customWidth="1"/>
    <col min="15881" max="16128" width="11.42578125" style="176"/>
    <col min="16129" max="16129" width="3.7109375" style="176" customWidth="1"/>
    <col min="16130" max="16130" width="27.7109375" style="176" customWidth="1"/>
    <col min="16131" max="16131" width="15.85546875" style="176" customWidth="1"/>
    <col min="16132" max="16132" width="90.42578125" style="176" customWidth="1"/>
    <col min="16133" max="16133" width="18.7109375" style="176" customWidth="1"/>
    <col min="16134" max="16134" width="16.42578125" style="176" customWidth="1"/>
    <col min="16135" max="16135" width="22.28515625" style="176" customWidth="1"/>
    <col min="16136" max="16136" width="21.28515625" style="176" customWidth="1"/>
    <col min="16137" max="16384" width="11.42578125" style="176"/>
  </cols>
  <sheetData>
    <row r="1" spans="1:19" s="89" customFormat="1" ht="27.75" customHeight="1" x14ac:dyDescent="0.3">
      <c r="A1" s="87"/>
      <c r="B1" s="88"/>
      <c r="C1" s="253" t="s">
        <v>180</v>
      </c>
      <c r="D1" s="253"/>
      <c r="E1" s="254" t="s">
        <v>92</v>
      </c>
      <c r="F1" s="255"/>
      <c r="G1" s="255"/>
      <c r="H1" s="255"/>
      <c r="I1" s="256"/>
      <c r="J1" s="256"/>
      <c r="K1" s="256"/>
      <c r="L1" s="256"/>
      <c r="M1" s="256"/>
      <c r="N1" s="256"/>
      <c r="O1" s="256"/>
      <c r="P1" s="256"/>
      <c r="Q1" s="256"/>
      <c r="R1" s="256"/>
      <c r="S1" s="256"/>
    </row>
    <row r="2" spans="1:19" s="89" customFormat="1" ht="28.5" customHeight="1" thickBot="1" x14ac:dyDescent="0.3">
      <c r="A2" s="87"/>
      <c r="B2" s="90"/>
      <c r="C2" s="257" t="s">
        <v>93</v>
      </c>
      <c r="D2" s="257"/>
      <c r="E2" s="258"/>
      <c r="F2" s="259"/>
      <c r="G2" s="259"/>
      <c r="H2" s="260"/>
      <c r="I2" s="91"/>
      <c r="J2" s="91"/>
      <c r="K2" s="91"/>
      <c r="L2" s="91"/>
      <c r="M2" s="91"/>
      <c r="N2" s="91"/>
      <c r="O2" s="91"/>
      <c r="P2" s="91"/>
      <c r="Q2" s="91"/>
      <c r="R2" s="91"/>
      <c r="S2" s="91"/>
    </row>
    <row r="3" spans="1:19" ht="18.75" customHeight="1" x14ac:dyDescent="0.25">
      <c r="B3" s="148" t="s">
        <v>39</v>
      </c>
      <c r="C3" s="92" t="s">
        <v>32</v>
      </c>
      <c r="D3" s="150">
        <v>45162</v>
      </c>
      <c r="E3" s="151"/>
      <c r="F3" s="262"/>
      <c r="G3" s="262"/>
      <c r="H3" s="262"/>
    </row>
    <row r="4" spans="1:19" ht="18.75" customHeight="1" x14ac:dyDescent="0.25">
      <c r="B4" s="149"/>
      <c r="C4" s="93" t="s">
        <v>94</v>
      </c>
      <c r="D4" s="152">
        <f>+D3+100</f>
        <v>45262</v>
      </c>
      <c r="E4" s="153"/>
      <c r="F4" s="262"/>
      <c r="G4" s="262"/>
      <c r="H4" s="262"/>
    </row>
    <row r="5" spans="1:19" ht="18.75" customHeight="1" x14ac:dyDescent="0.25">
      <c r="B5" s="94" t="s">
        <v>95</v>
      </c>
      <c r="C5" s="263" t="s">
        <v>96</v>
      </c>
      <c r="D5" s="264"/>
      <c r="E5" s="265"/>
      <c r="F5" s="266"/>
      <c r="G5" s="266"/>
      <c r="H5" s="266"/>
    </row>
    <row r="6" spans="1:19" ht="18.75" customHeight="1" x14ac:dyDescent="0.25">
      <c r="B6" s="94" t="s">
        <v>97</v>
      </c>
      <c r="C6" s="263" t="s">
        <v>181</v>
      </c>
      <c r="D6" s="264"/>
      <c r="E6" s="265"/>
      <c r="F6" s="266"/>
      <c r="G6" s="266"/>
      <c r="H6" s="266"/>
    </row>
    <row r="7" spans="1:19" ht="18.75" customHeight="1" x14ac:dyDescent="0.25">
      <c r="B7" s="94" t="s">
        <v>15</v>
      </c>
      <c r="C7" s="263" t="s">
        <v>182</v>
      </c>
      <c r="D7" s="264"/>
      <c r="E7" s="265"/>
      <c r="F7" s="267"/>
      <c r="G7" s="267"/>
      <c r="H7" s="267"/>
    </row>
    <row r="8" spans="1:19" ht="18.75" customHeight="1" x14ac:dyDescent="0.25">
      <c r="B8" s="94" t="s">
        <v>16</v>
      </c>
      <c r="C8" s="263" t="s">
        <v>149</v>
      </c>
      <c r="D8" s="264"/>
      <c r="E8" s="265"/>
      <c r="F8" s="267"/>
      <c r="G8" s="267"/>
      <c r="H8" s="267"/>
    </row>
    <row r="9" spans="1:19" ht="18.75" customHeight="1" x14ac:dyDescent="0.25">
      <c r="B9" s="94" t="s">
        <v>98</v>
      </c>
      <c r="C9" s="263" t="s">
        <v>183</v>
      </c>
      <c r="D9" s="264"/>
      <c r="E9" s="265"/>
      <c r="F9" s="267"/>
      <c r="G9" s="267"/>
      <c r="H9" s="267"/>
    </row>
    <row r="10" spans="1:19" ht="18.75" customHeight="1" x14ac:dyDescent="0.25">
      <c r="B10" s="94" t="s">
        <v>99</v>
      </c>
      <c r="C10" s="263" t="s">
        <v>184</v>
      </c>
      <c r="D10" s="264"/>
      <c r="E10" s="265"/>
      <c r="F10" s="266"/>
      <c r="G10" s="266"/>
      <c r="H10" s="266"/>
    </row>
    <row r="11" spans="1:19" ht="18.75" customHeight="1" x14ac:dyDescent="0.25">
      <c r="B11" s="94" t="s">
        <v>100</v>
      </c>
      <c r="C11" s="263" t="s">
        <v>101</v>
      </c>
      <c r="D11" s="264"/>
      <c r="E11" s="265"/>
      <c r="F11" s="267"/>
      <c r="G11" s="267"/>
      <c r="H11" s="267"/>
    </row>
    <row r="12" spans="1:19" ht="18.75" customHeight="1" thickBot="1" x14ac:dyDescent="0.3">
      <c r="B12" s="95" t="s">
        <v>102</v>
      </c>
      <c r="C12" s="268">
        <v>100000</v>
      </c>
      <c r="D12" s="269"/>
      <c r="E12" s="270"/>
      <c r="F12" s="271"/>
      <c r="G12" s="271"/>
      <c r="H12" s="271"/>
    </row>
    <row r="13" spans="1:19" ht="18.75" customHeight="1" thickBot="1" x14ac:dyDescent="0.3">
      <c r="B13" s="272" t="s">
        <v>103</v>
      </c>
      <c r="C13" s="96" t="s">
        <v>104</v>
      </c>
      <c r="D13" s="273" t="s">
        <v>105</v>
      </c>
      <c r="E13" s="274" t="s">
        <v>106</v>
      </c>
      <c r="F13" s="271"/>
      <c r="G13" s="271"/>
      <c r="H13" s="271"/>
    </row>
    <row r="14" spans="1:19" ht="18.75" customHeight="1" x14ac:dyDescent="0.25">
      <c r="B14" s="272"/>
      <c r="C14" s="275" t="s">
        <v>185</v>
      </c>
      <c r="D14" s="276" t="s">
        <v>186</v>
      </c>
      <c r="E14" s="277">
        <v>100000</v>
      </c>
      <c r="F14" s="278"/>
      <c r="G14" s="278"/>
      <c r="H14" s="278"/>
    </row>
    <row r="15" spans="1:19" ht="18.75" customHeight="1" x14ac:dyDescent="0.25">
      <c r="B15" s="272"/>
      <c r="C15" s="275"/>
      <c r="D15" s="276"/>
      <c r="E15" s="277">
        <v>0</v>
      </c>
      <c r="F15" s="278"/>
      <c r="G15" s="278"/>
      <c r="H15" s="278"/>
    </row>
    <row r="16" spans="1:19" ht="18.75" customHeight="1" x14ac:dyDescent="0.25">
      <c r="B16" s="272"/>
      <c r="C16" s="275"/>
      <c r="D16" s="276"/>
      <c r="E16" s="279"/>
      <c r="F16" s="278"/>
      <c r="G16" s="278"/>
      <c r="H16" s="278"/>
    </row>
    <row r="17" spans="1:8" ht="18.75" customHeight="1" x14ac:dyDescent="0.25">
      <c r="B17" s="94" t="s">
        <v>107</v>
      </c>
      <c r="C17" s="280">
        <f>SUM(E14:E16)</f>
        <v>100000</v>
      </c>
      <c r="D17" s="264"/>
      <c r="E17" s="265"/>
      <c r="F17" s="271"/>
      <c r="G17" s="271"/>
      <c r="H17" s="271"/>
    </row>
    <row r="18" spans="1:8" ht="18.75" customHeight="1" x14ac:dyDescent="0.25">
      <c r="B18" s="94" t="s">
        <v>108</v>
      </c>
      <c r="C18" s="281">
        <f>+C17/C12</f>
        <v>1</v>
      </c>
      <c r="D18" s="282"/>
      <c r="E18" s="283"/>
      <c r="F18" s="284"/>
      <c r="G18" s="284"/>
      <c r="H18" s="284"/>
    </row>
    <row r="19" spans="1:8" ht="18.75" customHeight="1" x14ac:dyDescent="0.25">
      <c r="B19" s="94" t="s">
        <v>109</v>
      </c>
      <c r="C19" s="263">
        <v>1</v>
      </c>
      <c r="D19" s="264"/>
      <c r="E19" s="265"/>
      <c r="F19" s="266"/>
      <c r="G19" s="266"/>
      <c r="H19" s="266"/>
    </row>
    <row r="20" spans="1:8" ht="18.75" customHeight="1" x14ac:dyDescent="0.25">
      <c r="B20" s="149" t="s">
        <v>110</v>
      </c>
      <c r="C20" s="97" t="s">
        <v>111</v>
      </c>
      <c r="D20" s="285"/>
      <c r="E20" s="286"/>
      <c r="F20" s="266"/>
      <c r="G20" s="266"/>
      <c r="H20" s="266"/>
    </row>
    <row r="21" spans="1:8" ht="18.75" customHeight="1" x14ac:dyDescent="0.25">
      <c r="B21" s="149"/>
      <c r="C21" s="97" t="s">
        <v>112</v>
      </c>
      <c r="D21" s="287" t="s">
        <v>113</v>
      </c>
      <c r="E21" s="286"/>
      <c r="F21" s="266"/>
      <c r="G21" s="266"/>
      <c r="H21" s="266"/>
    </row>
    <row r="22" spans="1:8" ht="18.75" customHeight="1" x14ac:dyDescent="0.25">
      <c r="B22" s="149"/>
      <c r="C22" s="97" t="s">
        <v>114</v>
      </c>
      <c r="D22" s="285"/>
      <c r="E22" s="286"/>
      <c r="F22" s="266"/>
      <c r="G22" s="266"/>
      <c r="H22" s="266"/>
    </row>
    <row r="23" spans="1:8" ht="18.75" customHeight="1" x14ac:dyDescent="0.25">
      <c r="B23" s="94" t="s">
        <v>115</v>
      </c>
      <c r="C23" s="288" t="s">
        <v>116</v>
      </c>
      <c r="D23" s="289"/>
      <c r="E23" s="290"/>
      <c r="F23" s="266"/>
      <c r="G23" s="266"/>
      <c r="H23" s="266"/>
    </row>
    <row r="24" spans="1:8" ht="18.75" customHeight="1" x14ac:dyDescent="0.25">
      <c r="B24" s="94" t="s">
        <v>43</v>
      </c>
      <c r="C24" s="288" t="s">
        <v>117</v>
      </c>
      <c r="D24" s="289"/>
      <c r="E24" s="290"/>
      <c r="F24" s="266"/>
      <c r="G24" s="266"/>
      <c r="H24" s="266"/>
    </row>
    <row r="25" spans="1:8" ht="18.75" customHeight="1" thickBot="1" x14ac:dyDescent="0.3">
      <c r="B25" s="98" t="s">
        <v>118</v>
      </c>
      <c r="C25" s="291">
        <v>4</v>
      </c>
      <c r="D25" s="292"/>
      <c r="E25" s="286" t="s">
        <v>119</v>
      </c>
      <c r="F25" s="266"/>
      <c r="G25" s="266"/>
      <c r="H25" s="266"/>
    </row>
    <row r="26" spans="1:8" ht="33.75" customHeight="1" x14ac:dyDescent="0.25">
      <c r="A26" s="261" t="s">
        <v>120</v>
      </c>
      <c r="B26" s="99" t="s">
        <v>121</v>
      </c>
      <c r="C26" s="293" t="s">
        <v>122</v>
      </c>
      <c r="D26" s="294"/>
      <c r="E26" s="295"/>
      <c r="F26" s="266"/>
      <c r="G26" s="266"/>
      <c r="H26" s="266"/>
    </row>
    <row r="27" spans="1:8" ht="15.75" x14ac:dyDescent="0.25">
      <c r="B27" s="296" t="s">
        <v>123</v>
      </c>
      <c r="C27" s="297">
        <v>300</v>
      </c>
      <c r="D27" s="289"/>
      <c r="E27" s="290"/>
      <c r="F27" s="298"/>
      <c r="G27" s="298"/>
      <c r="H27" s="298"/>
    </row>
    <row r="28" spans="1:8" ht="22.5" customHeight="1" x14ac:dyDescent="0.25">
      <c r="A28" s="261" t="s">
        <v>124</v>
      </c>
      <c r="B28" s="296" t="s">
        <v>125</v>
      </c>
      <c r="C28" s="299" t="s">
        <v>187</v>
      </c>
      <c r="D28" s="300"/>
      <c r="E28" s="301"/>
      <c r="F28" s="298"/>
      <c r="G28" s="298"/>
      <c r="H28" s="298"/>
    </row>
    <row r="29" spans="1:8" ht="33" x14ac:dyDescent="0.25">
      <c r="A29" s="261" t="s">
        <v>124</v>
      </c>
      <c r="B29" s="296" t="s">
        <v>126</v>
      </c>
      <c r="C29" s="297" t="s">
        <v>188</v>
      </c>
      <c r="D29" s="289"/>
      <c r="E29" s="290"/>
      <c r="F29" s="302"/>
      <c r="G29" s="302"/>
      <c r="H29" s="302"/>
    </row>
    <row r="30" spans="1:8" ht="15.75" x14ac:dyDescent="0.25">
      <c r="B30" s="303" t="s">
        <v>127</v>
      </c>
      <c r="C30" s="304" t="s">
        <v>128</v>
      </c>
      <c r="D30" s="305"/>
      <c r="E30" s="306"/>
      <c r="F30" s="307"/>
      <c r="G30" s="307"/>
      <c r="H30" s="307"/>
    </row>
    <row r="31" spans="1:8" ht="16.5" thickBot="1" x14ac:dyDescent="0.3">
      <c r="B31" s="308"/>
      <c r="C31" s="304" t="s">
        <v>129</v>
      </c>
      <c r="D31" s="309" t="s">
        <v>113</v>
      </c>
      <c r="E31" s="306"/>
      <c r="F31" s="307"/>
      <c r="G31" s="307"/>
      <c r="H31" s="307"/>
    </row>
    <row r="32" spans="1:8" ht="23.25" customHeight="1" x14ac:dyDescent="0.25">
      <c r="B32" s="310" t="s">
        <v>130</v>
      </c>
      <c r="C32" s="311" t="s">
        <v>189</v>
      </c>
      <c r="D32" s="312"/>
      <c r="E32" s="313" t="s">
        <v>131</v>
      </c>
      <c r="F32" s="314"/>
      <c r="G32" s="314"/>
      <c r="H32" s="314"/>
    </row>
    <row r="33" spans="1:8" ht="64.5" x14ac:dyDescent="0.25">
      <c r="A33" s="261" t="s">
        <v>190</v>
      </c>
      <c r="B33" s="315" t="s">
        <v>132</v>
      </c>
      <c r="C33" s="316" t="s">
        <v>191</v>
      </c>
      <c r="D33" s="317"/>
      <c r="E33" s="313"/>
      <c r="F33" s="318"/>
      <c r="G33" s="318"/>
      <c r="H33" s="318"/>
    </row>
    <row r="34" spans="1:8" ht="21.75" customHeight="1" x14ac:dyDescent="0.25">
      <c r="B34" s="319" t="s">
        <v>130</v>
      </c>
      <c r="C34" s="320" t="s">
        <v>192</v>
      </c>
      <c r="D34" s="321"/>
      <c r="E34" s="322" t="s">
        <v>193</v>
      </c>
      <c r="F34" s="314"/>
      <c r="G34" s="314"/>
      <c r="H34" s="314"/>
    </row>
    <row r="35" spans="1:8" ht="96.75" thickBot="1" x14ac:dyDescent="0.3">
      <c r="A35" s="261" t="s">
        <v>194</v>
      </c>
      <c r="B35" s="323" t="s">
        <v>195</v>
      </c>
      <c r="C35" s="324" t="s">
        <v>196</v>
      </c>
      <c r="D35" s="325"/>
      <c r="E35" s="326"/>
      <c r="F35" s="318"/>
      <c r="G35" s="318"/>
      <c r="H35" s="318"/>
    </row>
  </sheetData>
  <mergeCells count="33">
    <mergeCell ref="C34:D34"/>
    <mergeCell ref="E34:E35"/>
    <mergeCell ref="C35:D35"/>
    <mergeCell ref="C28:E28"/>
    <mergeCell ref="C29:E29"/>
    <mergeCell ref="B30:B31"/>
    <mergeCell ref="C32:D32"/>
    <mergeCell ref="E32:E33"/>
    <mergeCell ref="C33:D33"/>
    <mergeCell ref="B20:B22"/>
    <mergeCell ref="C23:E23"/>
    <mergeCell ref="C24:E24"/>
    <mergeCell ref="C25:D25"/>
    <mergeCell ref="C26:E26"/>
    <mergeCell ref="C27:E27"/>
    <mergeCell ref="C11:E11"/>
    <mergeCell ref="C12:E12"/>
    <mergeCell ref="B13:B16"/>
    <mergeCell ref="C17:E17"/>
    <mergeCell ref="C18:E18"/>
    <mergeCell ref="C19:E19"/>
    <mergeCell ref="C5:E5"/>
    <mergeCell ref="C6:E6"/>
    <mergeCell ref="C7:E7"/>
    <mergeCell ref="C8:E8"/>
    <mergeCell ref="C9:E9"/>
    <mergeCell ref="C10:E10"/>
    <mergeCell ref="C1:D1"/>
    <mergeCell ref="E1:E2"/>
    <mergeCell ref="C2:D2"/>
    <mergeCell ref="B3:B4"/>
    <mergeCell ref="D3:E3"/>
    <mergeCell ref="D4:E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F179-97CC-49B4-A551-4247C705CC76}">
  <sheetPr>
    <tabColor theme="5" tint="-0.249977111117893"/>
  </sheetPr>
  <dimension ref="A1:Q65"/>
  <sheetViews>
    <sheetView tabSelected="1" view="pageBreakPreview" zoomScaleNormal="100" zoomScaleSheetLayoutView="100" workbookViewId="0">
      <selection activeCell="C11" sqref="C11"/>
    </sheetView>
  </sheetViews>
  <sheetFormatPr baseColWidth="10" defaultRowHeight="15" x14ac:dyDescent="0.25"/>
  <cols>
    <col min="1" max="1" width="1.7109375" style="168" customWidth="1"/>
    <col min="2" max="2" width="2.7109375" style="169" customWidth="1"/>
    <col min="3" max="3" width="19.28515625" style="169" customWidth="1"/>
    <col min="4" max="4" width="63.85546875" style="169" customWidth="1"/>
    <col min="5" max="11" width="3" style="169" customWidth="1"/>
    <col min="12" max="12" width="6.28515625" style="169" customWidth="1"/>
    <col min="13" max="13" width="4.7109375" style="169" customWidth="1"/>
    <col min="14" max="14" width="3.5703125" style="169" customWidth="1"/>
    <col min="15" max="15" width="4" style="169" customWidth="1"/>
    <col min="16" max="16" width="3.5703125" style="169" customWidth="1"/>
    <col min="17" max="17" width="17.7109375" style="169" customWidth="1"/>
    <col min="18" max="16384" width="11.42578125" style="169"/>
  </cols>
  <sheetData>
    <row r="1" spans="1:17" ht="20.25" x14ac:dyDescent="0.3">
      <c r="D1" s="170" t="s">
        <v>153</v>
      </c>
      <c r="E1" s="170"/>
      <c r="F1" s="170"/>
      <c r="G1" s="170"/>
      <c r="H1" s="170"/>
      <c r="I1" s="170"/>
      <c r="J1" s="170"/>
      <c r="K1" s="170"/>
      <c r="L1" s="170"/>
      <c r="M1" s="170"/>
      <c r="N1" s="170"/>
      <c r="O1" s="170"/>
      <c r="P1" s="170"/>
    </row>
    <row r="2" spans="1:17" ht="20.25" x14ac:dyDescent="0.3">
      <c r="D2" s="170" t="s">
        <v>27</v>
      </c>
      <c r="E2" s="170"/>
      <c r="F2" s="170"/>
      <c r="G2" s="170"/>
      <c r="H2" s="170"/>
      <c r="I2" s="170"/>
      <c r="J2" s="170"/>
      <c r="K2" s="170"/>
      <c r="L2" s="170"/>
      <c r="M2" s="170"/>
      <c r="N2" s="170"/>
      <c r="O2" s="170"/>
      <c r="P2" s="170"/>
      <c r="Q2" s="171" t="s">
        <v>28</v>
      </c>
    </row>
    <row r="3" spans="1:17" ht="9" customHeight="1" x14ac:dyDescent="0.25">
      <c r="D3" s="172"/>
      <c r="E3" s="172"/>
      <c r="F3" s="172"/>
      <c r="G3" s="172"/>
      <c r="H3" s="172"/>
      <c r="I3" s="172"/>
      <c r="J3" s="172"/>
      <c r="K3" s="172"/>
      <c r="L3" s="172"/>
      <c r="M3" s="172"/>
      <c r="N3" s="172"/>
      <c r="O3" s="173" t="s">
        <v>29</v>
      </c>
      <c r="P3" s="172"/>
      <c r="Q3" s="174"/>
    </row>
    <row r="4" spans="1:17" s="176" customFormat="1" ht="15.75" customHeight="1" x14ac:dyDescent="0.25">
      <c r="A4" s="175"/>
      <c r="B4" s="84" t="s">
        <v>30</v>
      </c>
      <c r="C4" s="84"/>
      <c r="D4" s="176" t="s">
        <v>154</v>
      </c>
      <c r="O4" s="173"/>
      <c r="Q4" s="177"/>
    </row>
    <row r="5" spans="1:17" s="176" customFormat="1" ht="15.75" customHeight="1" thickBot="1" x14ac:dyDescent="0.3">
      <c r="A5" s="175"/>
      <c r="B5" s="84" t="s">
        <v>31</v>
      </c>
      <c r="C5" s="84"/>
      <c r="D5" s="176" t="s">
        <v>155</v>
      </c>
      <c r="H5" s="178" t="s">
        <v>32</v>
      </c>
      <c r="I5" s="178"/>
      <c r="J5" s="178"/>
      <c r="K5" s="178"/>
      <c r="L5" s="179"/>
      <c r="M5" s="179" t="s">
        <v>33</v>
      </c>
      <c r="N5" s="178"/>
      <c r="O5" s="178"/>
      <c r="P5" s="178"/>
    </row>
    <row r="6" spans="1:17" s="176" customFormat="1" ht="15.75" x14ac:dyDescent="0.25">
      <c r="A6" s="175"/>
      <c r="B6" s="84" t="s">
        <v>34</v>
      </c>
      <c r="C6" s="84"/>
      <c r="D6" s="180" t="s">
        <v>35</v>
      </c>
      <c r="H6" s="181" t="s">
        <v>36</v>
      </c>
      <c r="I6" s="181"/>
      <c r="J6" s="181"/>
      <c r="K6" s="181"/>
      <c r="L6" s="182"/>
      <c r="M6" s="182"/>
      <c r="N6" s="183" t="s">
        <v>156</v>
      </c>
      <c r="O6" s="184"/>
      <c r="P6" s="184"/>
      <c r="Q6" s="185" t="s">
        <v>37</v>
      </c>
    </row>
    <row r="7" spans="1:17" s="176" customFormat="1" ht="15.75" x14ac:dyDescent="0.25">
      <c r="A7" s="175"/>
      <c r="B7" s="84" t="s">
        <v>38</v>
      </c>
      <c r="C7" s="84"/>
      <c r="D7" s="176" t="s">
        <v>157</v>
      </c>
      <c r="E7" s="180" t="s">
        <v>39</v>
      </c>
      <c r="H7" s="186">
        <v>45162</v>
      </c>
      <c r="I7" s="187"/>
      <c r="J7" s="187"/>
      <c r="K7" s="187"/>
      <c r="L7" s="186">
        <v>45162</v>
      </c>
      <c r="M7" s="186"/>
      <c r="N7" s="188"/>
      <c r="O7" s="187"/>
      <c r="P7" s="187"/>
      <c r="Q7" s="189" t="s">
        <v>158</v>
      </c>
    </row>
    <row r="8" spans="1:17" s="176" customFormat="1" ht="16.5" thickBot="1" x14ac:dyDescent="0.3">
      <c r="A8" s="175"/>
      <c r="B8" s="84" t="s">
        <v>16</v>
      </c>
      <c r="C8" s="84"/>
      <c r="D8" s="176" t="s">
        <v>159</v>
      </c>
      <c r="E8" s="180" t="s">
        <v>39</v>
      </c>
      <c r="H8" s="186">
        <f>+H7+20</f>
        <v>45182</v>
      </c>
      <c r="I8" s="187"/>
      <c r="J8" s="187"/>
      <c r="K8" s="187"/>
      <c r="L8" s="186">
        <f>+L7+1</f>
        <v>45163</v>
      </c>
      <c r="M8" s="186"/>
      <c r="N8" s="190"/>
      <c r="O8" s="191"/>
      <c r="P8" s="191"/>
      <c r="Q8" s="192"/>
    </row>
    <row r="9" spans="1:17" s="176" customFormat="1" ht="17.25" x14ac:dyDescent="0.25">
      <c r="A9" s="175">
        <v>1</v>
      </c>
      <c r="B9" s="147" t="s">
        <v>40</v>
      </c>
      <c r="C9" s="147"/>
      <c r="D9" s="193" t="s">
        <v>41</v>
      </c>
      <c r="E9" s="193"/>
      <c r="F9" s="193"/>
      <c r="G9" s="193"/>
      <c r="H9" s="193"/>
      <c r="I9" s="193"/>
      <c r="J9" s="193"/>
      <c r="K9" s="193"/>
      <c r="L9" s="193"/>
      <c r="M9" s="193"/>
      <c r="N9" s="193"/>
      <c r="O9" s="193"/>
      <c r="P9" s="193"/>
      <c r="Q9" s="193"/>
    </row>
    <row r="10" spans="1:17" s="176" customFormat="1" ht="48.75" x14ac:dyDescent="0.25">
      <c r="A10" s="175">
        <v>111</v>
      </c>
      <c r="B10" s="147"/>
      <c r="C10" s="147"/>
      <c r="D10" s="193" t="s">
        <v>42</v>
      </c>
      <c r="E10" s="193"/>
      <c r="F10" s="193"/>
      <c r="G10" s="193"/>
      <c r="H10" s="193"/>
      <c r="I10" s="193"/>
      <c r="J10" s="193"/>
      <c r="K10" s="193"/>
      <c r="L10" s="193"/>
      <c r="M10" s="193"/>
      <c r="N10" s="193"/>
      <c r="O10" s="193"/>
      <c r="P10" s="193"/>
      <c r="Q10" s="193"/>
    </row>
    <row r="11" spans="1:17" s="176" customFormat="1" ht="15.75" x14ac:dyDescent="0.25">
      <c r="A11" s="194"/>
      <c r="B11" s="146"/>
      <c r="C11" s="146"/>
      <c r="D11" s="195" t="s">
        <v>160</v>
      </c>
      <c r="E11" s="196"/>
      <c r="F11" s="196"/>
      <c r="G11" s="196"/>
      <c r="H11" s="196"/>
      <c r="I11" s="196"/>
      <c r="J11" s="196"/>
      <c r="K11" s="196"/>
      <c r="L11" s="196"/>
      <c r="M11" s="196"/>
      <c r="N11" s="196"/>
      <c r="O11" s="196"/>
      <c r="P11" s="196"/>
    </row>
    <row r="12" spans="1:17" s="198" customFormat="1" ht="15" customHeight="1" x14ac:dyDescent="0.2">
      <c r="A12" s="194"/>
      <c r="B12" s="197" t="s">
        <v>43</v>
      </c>
      <c r="C12" s="197"/>
      <c r="D12" s="197"/>
      <c r="I12" s="199" t="s">
        <v>44</v>
      </c>
      <c r="N12" s="199" t="s">
        <v>45</v>
      </c>
    </row>
    <row r="13" spans="1:17" s="198" customFormat="1" ht="14.25" x14ac:dyDescent="0.2">
      <c r="A13" s="194"/>
      <c r="B13" s="200" t="s">
        <v>46</v>
      </c>
      <c r="C13" s="198" t="s">
        <v>47</v>
      </c>
      <c r="D13" s="198" t="s">
        <v>48</v>
      </c>
      <c r="E13" s="201" t="s">
        <v>161</v>
      </c>
      <c r="H13" s="85"/>
      <c r="I13" s="202" t="s">
        <v>49</v>
      </c>
      <c r="K13" s="85"/>
      <c r="L13" s="85"/>
      <c r="N13" s="203" t="s">
        <v>50</v>
      </c>
      <c r="O13" s="202"/>
    </row>
    <row r="14" spans="1:17" s="198" customFormat="1" ht="12.75" x14ac:dyDescent="0.2">
      <c r="A14" s="194"/>
      <c r="B14" s="200" t="s">
        <v>51</v>
      </c>
      <c r="C14" s="198" t="s">
        <v>52</v>
      </c>
      <c r="D14" s="198" t="s">
        <v>53</v>
      </c>
      <c r="H14" s="85"/>
      <c r="I14" s="202" t="s">
        <v>33</v>
      </c>
      <c r="J14" s="204"/>
      <c r="K14" s="85"/>
      <c r="L14" s="85"/>
      <c r="M14" s="86" t="s">
        <v>25</v>
      </c>
      <c r="N14" s="202" t="s">
        <v>54</v>
      </c>
      <c r="O14" s="202"/>
    </row>
    <row r="15" spans="1:17" s="198" customFormat="1" ht="12.75" x14ac:dyDescent="0.2">
      <c r="A15" s="194"/>
      <c r="B15" s="200" t="s">
        <v>25</v>
      </c>
      <c r="C15" s="198" t="s">
        <v>55</v>
      </c>
      <c r="D15" s="198" t="s">
        <v>56</v>
      </c>
      <c r="H15" s="85"/>
      <c r="I15" s="202" t="s">
        <v>57</v>
      </c>
      <c r="J15" s="204"/>
      <c r="K15" s="85"/>
      <c r="L15" s="85"/>
      <c r="M15" s="86" t="s">
        <v>58</v>
      </c>
      <c r="N15" s="202" t="s">
        <v>59</v>
      </c>
      <c r="O15" s="202"/>
    </row>
    <row r="16" spans="1:17" s="198" customFormat="1" ht="12.75" x14ac:dyDescent="0.2">
      <c r="A16" s="194"/>
      <c r="C16" s="200"/>
      <c r="D16" s="198" t="s">
        <v>60</v>
      </c>
      <c r="H16" s="85"/>
      <c r="I16" s="202"/>
      <c r="J16" s="204"/>
      <c r="K16" s="85"/>
      <c r="L16" s="85"/>
      <c r="M16" s="86" t="s">
        <v>61</v>
      </c>
      <c r="N16" s="203" t="s">
        <v>62</v>
      </c>
      <c r="O16" s="202"/>
    </row>
    <row r="17" spans="1:17" s="198" customFormat="1" ht="6.75" customHeight="1" thickBot="1" x14ac:dyDescent="0.25">
      <c r="A17" s="205"/>
      <c r="C17" s="200"/>
    </row>
    <row r="18" spans="1:17" ht="15.75" x14ac:dyDescent="0.25">
      <c r="C18" s="206" t="s">
        <v>63</v>
      </c>
      <c r="D18" s="207"/>
      <c r="E18" s="208" t="s">
        <v>64</v>
      </c>
      <c r="F18" s="209"/>
      <c r="G18" s="209"/>
      <c r="H18" s="209"/>
      <c r="I18" s="209"/>
      <c r="J18" s="209"/>
      <c r="K18" s="209"/>
      <c r="L18" s="210" t="s">
        <v>65</v>
      </c>
      <c r="M18" s="211"/>
      <c r="N18" s="208" t="s">
        <v>66</v>
      </c>
      <c r="O18" s="209"/>
      <c r="P18" s="209"/>
      <c r="Q18" s="212" t="s">
        <v>44</v>
      </c>
    </row>
    <row r="19" spans="1:17" ht="16.5" thickBot="1" x14ac:dyDescent="0.3">
      <c r="C19" s="213"/>
      <c r="D19" s="214"/>
      <c r="E19" s="215" t="s">
        <v>46</v>
      </c>
      <c r="F19" s="216" t="s">
        <v>51</v>
      </c>
      <c r="G19" s="216" t="s">
        <v>25</v>
      </c>
      <c r="H19" s="216" t="s">
        <v>67</v>
      </c>
      <c r="I19" s="216" t="s">
        <v>68</v>
      </c>
      <c r="J19" s="216" t="s">
        <v>69</v>
      </c>
      <c r="K19" s="216" t="s">
        <v>61</v>
      </c>
      <c r="L19" s="217"/>
      <c r="M19" s="218"/>
      <c r="N19" s="215" t="s">
        <v>25</v>
      </c>
      <c r="O19" s="216" t="s">
        <v>58</v>
      </c>
      <c r="P19" s="216" t="s">
        <v>61</v>
      </c>
      <c r="Q19" s="219"/>
    </row>
    <row r="20" spans="1:17" s="176" customFormat="1" ht="15.75" x14ac:dyDescent="0.25">
      <c r="A20" s="175"/>
      <c r="C20" s="220" t="s">
        <v>70</v>
      </c>
      <c r="D20" s="221"/>
      <c r="E20" s="222"/>
      <c r="F20" s="223"/>
      <c r="G20" s="223"/>
      <c r="H20" s="223"/>
      <c r="I20" s="223"/>
      <c r="J20" s="223"/>
      <c r="K20" s="223"/>
      <c r="L20" s="224"/>
      <c r="M20" s="225"/>
      <c r="N20" s="222"/>
      <c r="O20" s="223"/>
      <c r="P20" s="223"/>
      <c r="Q20" s="226"/>
    </row>
    <row r="21" spans="1:17" s="176" customFormat="1" ht="15.75" x14ac:dyDescent="0.25">
      <c r="A21" s="175"/>
      <c r="C21" s="227" t="s">
        <v>71</v>
      </c>
      <c r="D21" s="228"/>
      <c r="E21" s="229"/>
      <c r="F21" s="230"/>
      <c r="G21" s="230"/>
      <c r="H21" s="230"/>
      <c r="I21" s="230"/>
      <c r="J21" s="230"/>
      <c r="K21" s="230"/>
      <c r="L21" s="231" t="s">
        <v>72</v>
      </c>
      <c r="M21" s="232">
        <v>1</v>
      </c>
      <c r="N21" s="229"/>
      <c r="O21" s="230"/>
      <c r="P21" s="230"/>
      <c r="Q21" s="233"/>
    </row>
    <row r="22" spans="1:17" s="176" customFormat="1" ht="15.75" x14ac:dyDescent="0.25">
      <c r="A22" s="175"/>
      <c r="C22" s="234" t="s">
        <v>73</v>
      </c>
      <c r="D22" s="235"/>
      <c r="E22" s="229"/>
      <c r="F22" s="230"/>
      <c r="G22" s="230"/>
      <c r="H22" s="230"/>
      <c r="I22" s="230"/>
      <c r="J22" s="230"/>
      <c r="K22" s="230"/>
      <c r="L22" s="231" t="s">
        <v>72</v>
      </c>
      <c r="M22" s="236"/>
      <c r="N22" s="229"/>
      <c r="O22" s="230"/>
      <c r="P22" s="230"/>
      <c r="Q22" s="237"/>
    </row>
    <row r="23" spans="1:17" s="176" customFormat="1" ht="33" x14ac:dyDescent="0.25">
      <c r="A23" s="175">
        <v>11</v>
      </c>
      <c r="C23" s="227" t="s">
        <v>74</v>
      </c>
      <c r="D23" s="228"/>
      <c r="E23" s="229"/>
      <c r="F23" s="230"/>
      <c r="G23" s="230"/>
      <c r="H23" s="230"/>
      <c r="I23" s="230"/>
      <c r="J23" s="230"/>
      <c r="K23" s="230"/>
      <c r="L23" s="238"/>
      <c r="M23" s="236"/>
      <c r="N23" s="229"/>
      <c r="O23" s="230"/>
      <c r="P23" s="230"/>
      <c r="Q23" s="233" t="s">
        <v>57</v>
      </c>
    </row>
    <row r="24" spans="1:17" s="176" customFormat="1" ht="48.75" x14ac:dyDescent="0.25">
      <c r="A24" s="175">
        <v>111</v>
      </c>
      <c r="C24" s="227" t="s">
        <v>75</v>
      </c>
      <c r="D24" s="228"/>
      <c r="E24" s="229"/>
      <c r="F24" s="230"/>
      <c r="G24" s="230"/>
      <c r="H24" s="230"/>
      <c r="I24" s="230"/>
      <c r="J24" s="230"/>
      <c r="K24" s="230"/>
      <c r="L24" s="231" t="s">
        <v>72</v>
      </c>
      <c r="M24" s="236"/>
      <c r="N24" s="229"/>
      <c r="O24" s="230"/>
      <c r="P24" s="230"/>
      <c r="Q24" s="233"/>
    </row>
    <row r="25" spans="1:17" s="176" customFormat="1" ht="33" x14ac:dyDescent="0.25">
      <c r="A25" s="175">
        <v>11</v>
      </c>
      <c r="C25" s="227" t="s">
        <v>76</v>
      </c>
      <c r="D25" s="228"/>
      <c r="E25" s="229"/>
      <c r="F25" s="230"/>
      <c r="G25" s="230"/>
      <c r="H25" s="230"/>
      <c r="I25" s="230"/>
      <c r="J25" s="230"/>
      <c r="K25" s="230"/>
      <c r="L25" s="231" t="s">
        <v>72</v>
      </c>
      <c r="M25" s="236"/>
      <c r="N25" s="229"/>
      <c r="O25" s="230"/>
      <c r="P25" s="230"/>
      <c r="Q25" s="233"/>
    </row>
    <row r="26" spans="1:17" s="176" customFormat="1" ht="15.75" x14ac:dyDescent="0.25">
      <c r="A26" s="175"/>
      <c r="C26" s="239" t="s">
        <v>77</v>
      </c>
      <c r="D26" s="240"/>
      <c r="E26" s="229"/>
      <c r="F26" s="230"/>
      <c r="G26" s="230"/>
      <c r="H26" s="230"/>
      <c r="I26" s="230"/>
      <c r="J26" s="230"/>
      <c r="K26" s="230"/>
      <c r="L26" s="231" t="s">
        <v>72</v>
      </c>
      <c r="M26" s="236"/>
      <c r="N26" s="229"/>
      <c r="O26" s="230"/>
      <c r="P26" s="230"/>
      <c r="Q26" s="233"/>
    </row>
    <row r="27" spans="1:17" s="176" customFormat="1" ht="15.75" x14ac:dyDescent="0.25">
      <c r="A27" s="175"/>
      <c r="C27" s="227" t="s">
        <v>78</v>
      </c>
      <c r="D27" s="228"/>
      <c r="E27" s="229"/>
      <c r="F27" s="230"/>
      <c r="G27" s="230"/>
      <c r="H27" s="230"/>
      <c r="I27" s="230"/>
      <c r="J27" s="230"/>
      <c r="K27" s="230"/>
      <c r="L27" s="238"/>
      <c r="M27" s="236"/>
      <c r="N27" s="229"/>
      <c r="O27" s="230"/>
      <c r="P27" s="230"/>
      <c r="Q27" s="233"/>
    </row>
    <row r="28" spans="1:17" s="176" customFormat="1" ht="15.75" x14ac:dyDescent="0.25">
      <c r="A28" s="175"/>
      <c r="C28" s="227" t="s">
        <v>79</v>
      </c>
      <c r="D28" s="228"/>
      <c r="E28" s="229"/>
      <c r="F28" s="230"/>
      <c r="G28" s="230"/>
      <c r="H28" s="230"/>
      <c r="I28" s="230"/>
      <c r="J28" s="230"/>
      <c r="K28" s="230"/>
      <c r="L28" s="231" t="s">
        <v>72</v>
      </c>
      <c r="M28" s="236"/>
      <c r="N28" s="229"/>
      <c r="O28" s="230"/>
      <c r="P28" s="230"/>
      <c r="Q28" s="233"/>
    </row>
    <row r="29" spans="1:17" s="176" customFormat="1" ht="15.75" x14ac:dyDescent="0.25">
      <c r="A29" s="175"/>
      <c r="C29" s="227" t="s">
        <v>80</v>
      </c>
      <c r="D29" s="228"/>
      <c r="E29" s="229"/>
      <c r="F29" s="230"/>
      <c r="G29" s="230"/>
      <c r="H29" s="230"/>
      <c r="I29" s="230"/>
      <c r="J29" s="230"/>
      <c r="K29" s="230"/>
      <c r="L29" s="231" t="s">
        <v>72</v>
      </c>
      <c r="M29" s="236"/>
      <c r="N29" s="229"/>
      <c r="O29" s="230"/>
      <c r="P29" s="230"/>
      <c r="Q29" s="233"/>
    </row>
    <row r="30" spans="1:17" s="176" customFormat="1" ht="48.75" x14ac:dyDescent="0.25">
      <c r="A30" s="175">
        <v>111</v>
      </c>
      <c r="C30" s="227" t="s">
        <v>81</v>
      </c>
      <c r="D30" s="228"/>
      <c r="E30" s="229"/>
      <c r="F30" s="230"/>
      <c r="G30" s="230"/>
      <c r="H30" s="230"/>
      <c r="I30" s="230"/>
      <c r="J30" s="230"/>
      <c r="K30" s="230"/>
      <c r="L30" s="231" t="s">
        <v>72</v>
      </c>
      <c r="M30" s="236"/>
      <c r="N30" s="229"/>
      <c r="O30" s="230"/>
      <c r="P30" s="230"/>
      <c r="Q30" s="233"/>
    </row>
    <row r="31" spans="1:17" s="176" customFormat="1" ht="33" x14ac:dyDescent="0.25">
      <c r="A31" s="175">
        <v>11</v>
      </c>
      <c r="C31" s="227" t="s">
        <v>82</v>
      </c>
      <c r="D31" s="228"/>
      <c r="E31" s="229"/>
      <c r="F31" s="230"/>
      <c r="G31" s="230"/>
      <c r="H31" s="230"/>
      <c r="I31" s="230"/>
      <c r="J31" s="230"/>
      <c r="K31" s="230"/>
      <c r="L31" s="231" t="s">
        <v>72</v>
      </c>
      <c r="M31" s="236"/>
      <c r="N31" s="229"/>
      <c r="O31" s="230"/>
      <c r="P31" s="230"/>
      <c r="Q31" s="233"/>
    </row>
    <row r="32" spans="1:17" s="176" customFormat="1" ht="33" x14ac:dyDescent="0.25">
      <c r="A32" s="175">
        <v>11</v>
      </c>
      <c r="C32" s="227" t="s">
        <v>83</v>
      </c>
      <c r="D32" s="228"/>
      <c r="E32" s="229"/>
      <c r="F32" s="230"/>
      <c r="G32" s="230"/>
      <c r="H32" s="230"/>
      <c r="I32" s="230"/>
      <c r="J32" s="230"/>
      <c r="K32" s="230"/>
      <c r="L32" s="231" t="s">
        <v>72</v>
      </c>
      <c r="M32" s="236"/>
      <c r="N32" s="229"/>
      <c r="O32" s="230"/>
      <c r="P32" s="230"/>
      <c r="Q32" s="233"/>
    </row>
    <row r="33" spans="1:17" s="176" customFormat="1" ht="33" x14ac:dyDescent="0.25">
      <c r="A33" s="175">
        <v>11</v>
      </c>
      <c r="C33" s="227" t="s">
        <v>84</v>
      </c>
      <c r="D33" s="228"/>
      <c r="E33" s="229"/>
      <c r="F33" s="230"/>
      <c r="G33" s="230"/>
      <c r="H33" s="230"/>
      <c r="I33" s="230"/>
      <c r="J33" s="230"/>
      <c r="K33" s="230"/>
      <c r="L33" s="231" t="s">
        <v>72</v>
      </c>
      <c r="M33" s="236"/>
      <c r="N33" s="229"/>
      <c r="O33" s="230"/>
      <c r="P33" s="230"/>
      <c r="Q33" s="233"/>
    </row>
    <row r="34" spans="1:17" s="176" customFormat="1" ht="48.75" x14ac:dyDescent="0.25">
      <c r="A34" s="175">
        <v>111</v>
      </c>
      <c r="C34" s="227" t="s">
        <v>85</v>
      </c>
      <c r="D34" s="228"/>
      <c r="E34" s="229"/>
      <c r="F34" s="230"/>
      <c r="G34" s="230"/>
      <c r="H34" s="230"/>
      <c r="I34" s="230"/>
      <c r="J34" s="230"/>
      <c r="K34" s="230"/>
      <c r="L34" s="231" t="s">
        <v>72</v>
      </c>
      <c r="M34" s="236"/>
      <c r="N34" s="229"/>
      <c r="O34" s="230"/>
      <c r="P34" s="230"/>
      <c r="Q34" s="233"/>
    </row>
    <row r="35" spans="1:17" s="176" customFormat="1" ht="33" x14ac:dyDescent="0.25">
      <c r="A35" s="175">
        <v>11</v>
      </c>
      <c r="C35" s="227" t="s">
        <v>86</v>
      </c>
      <c r="D35" s="228"/>
      <c r="E35" s="229"/>
      <c r="F35" s="230"/>
      <c r="G35" s="230"/>
      <c r="H35" s="230"/>
      <c r="I35" s="230"/>
      <c r="J35" s="230"/>
      <c r="K35" s="230"/>
      <c r="L35" s="238"/>
      <c r="M35" s="236"/>
      <c r="N35" s="229"/>
      <c r="O35" s="230"/>
      <c r="P35" s="230"/>
      <c r="Q35" s="233"/>
    </row>
    <row r="36" spans="1:17" s="176" customFormat="1" ht="17.25" x14ac:dyDescent="0.25">
      <c r="A36" s="175">
        <v>1</v>
      </c>
      <c r="C36" s="227" t="s">
        <v>162</v>
      </c>
      <c r="D36" s="228"/>
      <c r="E36" s="229"/>
      <c r="F36" s="230"/>
      <c r="G36" s="230"/>
      <c r="H36" s="230"/>
      <c r="I36" s="230"/>
      <c r="J36" s="230"/>
      <c r="K36" s="230"/>
      <c r="L36" s="231" t="s">
        <v>72</v>
      </c>
      <c r="M36" s="236"/>
      <c r="N36" s="229"/>
      <c r="O36" s="230"/>
      <c r="P36" s="230"/>
      <c r="Q36" s="233"/>
    </row>
    <row r="37" spans="1:17" s="176" customFormat="1" ht="33" x14ac:dyDescent="0.25">
      <c r="A37" s="175">
        <v>11</v>
      </c>
      <c r="C37" s="227" t="s">
        <v>87</v>
      </c>
      <c r="D37" s="228"/>
      <c r="E37" s="229"/>
      <c r="F37" s="230"/>
      <c r="G37" s="230"/>
      <c r="H37" s="230"/>
      <c r="I37" s="230"/>
      <c r="J37" s="230"/>
      <c r="K37" s="230"/>
      <c r="L37" s="231" t="s">
        <v>72</v>
      </c>
      <c r="M37" s="236"/>
      <c r="N37" s="229"/>
      <c r="O37" s="230"/>
      <c r="P37" s="230"/>
      <c r="Q37" s="233"/>
    </row>
    <row r="38" spans="1:17" s="176" customFormat="1" ht="33" x14ac:dyDescent="0.25">
      <c r="A38" s="175">
        <v>11</v>
      </c>
      <c r="C38" s="227" t="s">
        <v>88</v>
      </c>
      <c r="D38" s="228"/>
      <c r="E38" s="229"/>
      <c r="F38" s="230"/>
      <c r="G38" s="230"/>
      <c r="H38" s="230"/>
      <c r="I38" s="230"/>
      <c r="J38" s="230"/>
      <c r="K38" s="230"/>
      <c r="L38" s="231" t="s">
        <v>72</v>
      </c>
      <c r="M38" s="236"/>
      <c r="N38" s="229"/>
      <c r="O38" s="230"/>
      <c r="P38" s="230"/>
      <c r="Q38" s="233"/>
    </row>
    <row r="39" spans="1:17" s="176" customFormat="1" ht="17.25" x14ac:dyDescent="0.25">
      <c r="A39" s="175">
        <v>1</v>
      </c>
      <c r="C39" s="227" t="s">
        <v>163</v>
      </c>
      <c r="D39" s="228"/>
      <c r="E39" s="229"/>
      <c r="F39" s="230"/>
      <c r="G39" s="230"/>
      <c r="H39" s="230"/>
      <c r="I39" s="230"/>
      <c r="J39" s="230"/>
      <c r="K39" s="230"/>
      <c r="L39" s="231" t="s">
        <v>72</v>
      </c>
      <c r="M39" s="236"/>
      <c r="N39" s="229"/>
      <c r="O39" s="230"/>
      <c r="P39" s="230"/>
      <c r="Q39" s="233"/>
    </row>
    <row r="40" spans="1:17" s="176" customFormat="1" ht="33" x14ac:dyDescent="0.25">
      <c r="A40" s="175">
        <v>11</v>
      </c>
      <c r="C40" s="227" t="s">
        <v>89</v>
      </c>
      <c r="D40" s="228"/>
      <c r="E40" s="229"/>
      <c r="F40" s="230"/>
      <c r="G40" s="230"/>
      <c r="H40" s="230"/>
      <c r="I40" s="230"/>
      <c r="J40" s="230"/>
      <c r="K40" s="230"/>
      <c r="L40" s="231" t="s">
        <v>72</v>
      </c>
      <c r="M40" s="236"/>
      <c r="N40" s="229"/>
      <c r="O40" s="230"/>
      <c r="P40" s="230"/>
      <c r="Q40" s="233"/>
    </row>
    <row r="41" spans="1:17" s="176" customFormat="1" ht="33" x14ac:dyDescent="0.25">
      <c r="A41" s="175">
        <v>11</v>
      </c>
      <c r="C41" s="227" t="s">
        <v>164</v>
      </c>
      <c r="D41" s="228"/>
      <c r="E41" s="229"/>
      <c r="F41" s="230"/>
      <c r="G41" s="230"/>
      <c r="H41" s="230"/>
      <c r="I41" s="230"/>
      <c r="J41" s="230"/>
      <c r="K41" s="230"/>
      <c r="L41" s="231" t="s">
        <v>72</v>
      </c>
      <c r="M41" s="236"/>
      <c r="N41" s="229"/>
      <c r="O41" s="230"/>
      <c r="P41" s="230"/>
      <c r="Q41" s="233"/>
    </row>
    <row r="42" spans="1:17" s="176" customFormat="1" ht="33" x14ac:dyDescent="0.25">
      <c r="A42" s="175">
        <v>11</v>
      </c>
      <c r="C42" s="227" t="s">
        <v>90</v>
      </c>
      <c r="D42" s="228"/>
      <c r="E42" s="229"/>
      <c r="F42" s="230"/>
      <c r="G42" s="230"/>
      <c r="H42" s="230"/>
      <c r="I42" s="230"/>
      <c r="J42" s="230"/>
      <c r="K42" s="230"/>
      <c r="L42" s="231" t="s">
        <v>72</v>
      </c>
      <c r="M42" s="236"/>
      <c r="N42" s="229"/>
      <c r="O42" s="230"/>
      <c r="P42" s="230"/>
      <c r="Q42" s="233"/>
    </row>
    <row r="43" spans="1:17" s="176" customFormat="1" ht="17.25" x14ac:dyDescent="0.25">
      <c r="A43" s="175">
        <v>1</v>
      </c>
      <c r="C43" s="234" t="s">
        <v>165</v>
      </c>
      <c r="D43" s="235"/>
      <c r="E43" s="229"/>
      <c r="F43" s="230"/>
      <c r="G43" s="230"/>
      <c r="H43" s="230"/>
      <c r="I43" s="230"/>
      <c r="J43" s="230"/>
      <c r="K43" s="230"/>
      <c r="L43" s="231" t="s">
        <v>72</v>
      </c>
      <c r="M43" s="236"/>
      <c r="N43" s="229"/>
      <c r="O43" s="230"/>
      <c r="P43" s="230"/>
      <c r="Q43" s="233"/>
    </row>
    <row r="44" spans="1:17" s="176" customFormat="1" ht="33" x14ac:dyDescent="0.25">
      <c r="A44" s="175">
        <v>11</v>
      </c>
      <c r="C44" s="227" t="s">
        <v>166</v>
      </c>
      <c r="D44" s="228"/>
      <c r="E44" s="229"/>
      <c r="F44" s="230"/>
      <c r="G44" s="230"/>
      <c r="H44" s="230"/>
      <c r="I44" s="230"/>
      <c r="J44" s="230"/>
      <c r="K44" s="230"/>
      <c r="L44" s="231" t="s">
        <v>72</v>
      </c>
      <c r="M44" s="236"/>
      <c r="N44" s="229"/>
      <c r="O44" s="230"/>
      <c r="P44" s="230"/>
      <c r="Q44" s="233"/>
    </row>
    <row r="45" spans="1:17" s="176" customFormat="1" ht="17.25" x14ac:dyDescent="0.25">
      <c r="A45" s="175">
        <v>1</v>
      </c>
      <c r="C45" s="227" t="s">
        <v>167</v>
      </c>
      <c r="D45" s="228"/>
      <c r="E45" s="229"/>
      <c r="F45" s="230"/>
      <c r="G45" s="230"/>
      <c r="H45" s="230"/>
      <c r="I45" s="230"/>
      <c r="J45" s="230"/>
      <c r="K45" s="230"/>
      <c r="L45" s="231" t="s">
        <v>72</v>
      </c>
      <c r="M45" s="236"/>
      <c r="N45" s="229"/>
      <c r="O45" s="230"/>
      <c r="P45" s="230"/>
      <c r="Q45" s="233"/>
    </row>
    <row r="46" spans="1:17" s="176" customFormat="1" ht="48.75" x14ac:dyDescent="0.25">
      <c r="A46" s="175">
        <v>111</v>
      </c>
      <c r="C46" s="227" t="s">
        <v>168</v>
      </c>
      <c r="D46" s="228"/>
      <c r="E46" s="229"/>
      <c r="F46" s="230"/>
      <c r="G46" s="230"/>
      <c r="H46" s="230"/>
      <c r="I46" s="230"/>
      <c r="J46" s="230"/>
      <c r="K46" s="230"/>
      <c r="L46" s="231" t="s">
        <v>72</v>
      </c>
      <c r="M46" s="236"/>
      <c r="N46" s="229"/>
      <c r="O46" s="230"/>
      <c r="P46" s="230"/>
      <c r="Q46" s="233"/>
    </row>
    <row r="47" spans="1:17" s="176" customFormat="1" ht="33" x14ac:dyDescent="0.25">
      <c r="A47" s="175">
        <v>11</v>
      </c>
      <c r="C47" s="241" t="s">
        <v>169</v>
      </c>
      <c r="D47" s="228"/>
      <c r="E47" s="229"/>
      <c r="F47" s="230"/>
      <c r="G47" s="230"/>
      <c r="H47" s="230"/>
      <c r="I47" s="230"/>
      <c r="J47" s="230"/>
      <c r="K47" s="230"/>
      <c r="L47" s="231" t="s">
        <v>72</v>
      </c>
      <c r="M47" s="236"/>
      <c r="N47" s="229"/>
      <c r="O47" s="230"/>
      <c r="P47" s="230"/>
      <c r="Q47" s="233"/>
    </row>
    <row r="48" spans="1:17" s="176" customFormat="1" ht="33" x14ac:dyDescent="0.25">
      <c r="A48" s="175">
        <v>11</v>
      </c>
      <c r="C48" s="227" t="s">
        <v>170</v>
      </c>
      <c r="D48" s="228"/>
      <c r="E48" s="229"/>
      <c r="F48" s="230"/>
      <c r="G48" s="230"/>
      <c r="H48" s="230"/>
      <c r="I48" s="230"/>
      <c r="J48" s="230"/>
      <c r="K48" s="230"/>
      <c r="L48" s="231" t="s">
        <v>72</v>
      </c>
      <c r="M48" s="236"/>
      <c r="N48" s="229"/>
      <c r="O48" s="230"/>
      <c r="P48" s="230"/>
      <c r="Q48" s="233"/>
    </row>
    <row r="49" spans="1:17" s="176" customFormat="1" ht="33" x14ac:dyDescent="0.25">
      <c r="A49" s="175">
        <v>11</v>
      </c>
      <c r="C49" s="227" t="s">
        <v>171</v>
      </c>
      <c r="D49" s="228"/>
      <c r="E49" s="229"/>
      <c r="F49" s="230"/>
      <c r="G49" s="230"/>
      <c r="H49" s="230"/>
      <c r="I49" s="230"/>
      <c r="J49" s="230"/>
      <c r="K49" s="230"/>
      <c r="L49" s="231" t="s">
        <v>72</v>
      </c>
      <c r="M49" s="236"/>
      <c r="N49" s="229"/>
      <c r="O49" s="230"/>
      <c r="P49" s="230"/>
      <c r="Q49" s="233"/>
    </row>
    <row r="50" spans="1:17" s="176" customFormat="1" ht="33" x14ac:dyDescent="0.25">
      <c r="A50" s="175">
        <v>11</v>
      </c>
      <c r="C50" s="227" t="s">
        <v>172</v>
      </c>
      <c r="D50" s="228"/>
      <c r="E50" s="229"/>
      <c r="F50" s="230"/>
      <c r="G50" s="230"/>
      <c r="H50" s="230"/>
      <c r="I50" s="230"/>
      <c r="J50" s="230"/>
      <c r="K50" s="230"/>
      <c r="L50" s="231" t="s">
        <v>72</v>
      </c>
      <c r="M50" s="236"/>
      <c r="N50" s="229"/>
      <c r="O50" s="230"/>
      <c r="P50" s="230"/>
      <c r="Q50" s="233"/>
    </row>
    <row r="51" spans="1:17" s="176" customFormat="1" ht="64.5" x14ac:dyDescent="0.25">
      <c r="A51" s="175">
        <v>1111</v>
      </c>
      <c r="C51" s="227" t="s">
        <v>173</v>
      </c>
      <c r="D51" s="228"/>
      <c r="E51" s="229"/>
      <c r="F51" s="230"/>
      <c r="G51" s="230"/>
      <c r="H51" s="230"/>
      <c r="I51" s="230"/>
      <c r="J51" s="230"/>
      <c r="K51" s="230"/>
      <c r="L51" s="231" t="s">
        <v>72</v>
      </c>
      <c r="M51" s="236"/>
      <c r="N51" s="229"/>
      <c r="O51" s="230"/>
      <c r="P51" s="230"/>
      <c r="Q51" s="233"/>
    </row>
    <row r="52" spans="1:17" s="176" customFormat="1" ht="48.75" x14ac:dyDescent="0.25">
      <c r="A52" s="175">
        <v>111</v>
      </c>
      <c r="C52" s="227" t="s">
        <v>174</v>
      </c>
      <c r="D52" s="228"/>
      <c r="E52" s="229"/>
      <c r="F52" s="230"/>
      <c r="G52" s="230"/>
      <c r="H52" s="230"/>
      <c r="I52" s="230"/>
      <c r="J52" s="230"/>
      <c r="K52" s="230"/>
      <c r="L52" s="231" t="s">
        <v>72</v>
      </c>
      <c r="M52" s="236"/>
      <c r="N52" s="229"/>
      <c r="O52" s="230"/>
      <c r="P52" s="230"/>
      <c r="Q52" s="233"/>
    </row>
    <row r="53" spans="1:17" s="176" customFormat="1" ht="48.75" x14ac:dyDescent="0.25">
      <c r="A53" s="175">
        <v>111</v>
      </c>
      <c r="C53" s="241" t="s">
        <v>175</v>
      </c>
      <c r="D53" s="228"/>
      <c r="E53" s="229"/>
      <c r="F53" s="230"/>
      <c r="G53" s="230"/>
      <c r="H53" s="230"/>
      <c r="I53" s="230"/>
      <c r="J53" s="230"/>
      <c r="K53" s="230"/>
      <c r="L53" s="238"/>
      <c r="M53" s="236"/>
      <c r="N53" s="229"/>
      <c r="O53" s="230"/>
      <c r="P53" s="230"/>
      <c r="Q53" s="233"/>
    </row>
    <row r="54" spans="1:17" s="176" customFormat="1" ht="33" x14ac:dyDescent="0.25">
      <c r="A54" s="175">
        <v>11</v>
      </c>
      <c r="C54" s="227" t="s">
        <v>176</v>
      </c>
      <c r="D54" s="228"/>
      <c r="E54" s="229"/>
      <c r="F54" s="230"/>
      <c r="G54" s="230"/>
      <c r="H54" s="230"/>
      <c r="I54" s="230"/>
      <c r="J54" s="230"/>
      <c r="K54" s="230"/>
      <c r="L54" s="231" t="s">
        <v>72</v>
      </c>
      <c r="M54" s="236"/>
      <c r="N54" s="229"/>
      <c r="O54" s="230"/>
      <c r="P54" s="230"/>
      <c r="Q54" s="233"/>
    </row>
    <row r="55" spans="1:17" s="176" customFormat="1" ht="33" x14ac:dyDescent="0.25">
      <c r="A55" s="175">
        <v>11</v>
      </c>
      <c r="C55" s="227" t="s">
        <v>177</v>
      </c>
      <c r="D55" s="228"/>
      <c r="E55" s="229"/>
      <c r="F55" s="230"/>
      <c r="G55" s="230"/>
      <c r="H55" s="230"/>
      <c r="I55" s="230"/>
      <c r="J55" s="230"/>
      <c r="K55" s="230"/>
      <c r="L55" s="231" t="s">
        <v>72</v>
      </c>
      <c r="M55" s="236"/>
      <c r="N55" s="229"/>
      <c r="O55" s="230"/>
      <c r="P55" s="230"/>
      <c r="Q55" s="233"/>
    </row>
    <row r="56" spans="1:17" s="176" customFormat="1" ht="17.25" x14ac:dyDescent="0.25">
      <c r="A56" s="175">
        <v>1</v>
      </c>
      <c r="C56" s="227" t="s">
        <v>178</v>
      </c>
      <c r="D56" s="228"/>
      <c r="E56" s="229"/>
      <c r="F56" s="230"/>
      <c r="G56" s="230"/>
      <c r="H56" s="230"/>
      <c r="I56" s="230"/>
      <c r="J56" s="230"/>
      <c r="K56" s="230"/>
      <c r="L56" s="231" t="s">
        <v>72</v>
      </c>
      <c r="M56" s="236"/>
      <c r="N56" s="229"/>
      <c r="O56" s="230"/>
      <c r="P56" s="230"/>
      <c r="Q56" s="233"/>
    </row>
    <row r="57" spans="1:17" s="176" customFormat="1" ht="17.25" x14ac:dyDescent="0.25">
      <c r="A57" s="175">
        <v>1</v>
      </c>
      <c r="C57" s="227" t="s">
        <v>179</v>
      </c>
      <c r="D57" s="228"/>
      <c r="E57" s="229"/>
      <c r="F57" s="230"/>
      <c r="G57" s="230"/>
      <c r="H57" s="230"/>
      <c r="I57" s="230"/>
      <c r="J57" s="230"/>
      <c r="K57" s="230"/>
      <c r="L57" s="231" t="s">
        <v>72</v>
      </c>
      <c r="M57" s="236"/>
      <c r="N57" s="229"/>
      <c r="O57" s="230"/>
      <c r="P57" s="230"/>
      <c r="Q57" s="233"/>
    </row>
    <row r="58" spans="1:17" s="176" customFormat="1" ht="16.5" thickBot="1" x14ac:dyDescent="0.3">
      <c r="A58" s="175"/>
      <c r="C58" s="242"/>
      <c r="D58" s="243"/>
      <c r="E58" s="244"/>
      <c r="F58" s="245"/>
      <c r="G58" s="245"/>
      <c r="H58" s="245"/>
      <c r="I58" s="245"/>
      <c r="J58" s="245"/>
      <c r="K58" s="245"/>
      <c r="L58" s="246"/>
      <c r="M58" s="247"/>
      <c r="N58" s="244"/>
      <c r="O58" s="245"/>
      <c r="P58" s="245"/>
      <c r="Q58" s="248"/>
    </row>
    <row r="59" spans="1:17" s="176" customFormat="1" ht="16.5" thickBot="1" x14ac:dyDescent="0.3">
      <c r="A59" s="175"/>
      <c r="C59" s="249" t="s">
        <v>91</v>
      </c>
      <c r="D59" s="249"/>
    </row>
    <row r="60" spans="1:17" s="176" customFormat="1" ht="49.5" thickBot="1" x14ac:dyDescent="0.3">
      <c r="A60" s="175">
        <v>111</v>
      </c>
      <c r="C60" s="250"/>
      <c r="D60" s="251"/>
      <c r="E60" s="251"/>
      <c r="F60" s="251"/>
      <c r="G60" s="251"/>
      <c r="H60" s="251"/>
      <c r="I60" s="251"/>
      <c r="J60" s="251"/>
      <c r="K60" s="251"/>
      <c r="L60" s="251"/>
      <c r="M60" s="251"/>
      <c r="N60" s="251"/>
      <c r="O60" s="251"/>
      <c r="P60" s="251"/>
      <c r="Q60" s="252"/>
    </row>
    <row r="61" spans="1:17" s="176" customFormat="1" ht="15.75" x14ac:dyDescent="0.25">
      <c r="A61" s="175"/>
    </row>
    <row r="62" spans="1:17" s="176" customFormat="1" ht="15.75" x14ac:dyDescent="0.25">
      <c r="A62" s="175"/>
    </row>
    <row r="63" spans="1:17" s="176" customFormat="1" ht="15.75" x14ac:dyDescent="0.25">
      <c r="A63" s="175"/>
    </row>
    <row r="64" spans="1:17" s="176" customFormat="1" ht="15.75" x14ac:dyDescent="0.25">
      <c r="A64" s="175"/>
    </row>
    <row r="65" spans="1:1" s="176" customFormat="1" ht="15.75" x14ac:dyDescent="0.25">
      <c r="A65" s="175"/>
    </row>
  </sheetData>
  <mergeCells count="64">
    <mergeCell ref="C56:D56"/>
    <mergeCell ref="C57:D57"/>
    <mergeCell ref="C58:D58"/>
    <mergeCell ref="C59:D59"/>
    <mergeCell ref="C60:Q60"/>
    <mergeCell ref="C50:D50"/>
    <mergeCell ref="C51:D51"/>
    <mergeCell ref="C52:D52"/>
    <mergeCell ref="C53:D53"/>
    <mergeCell ref="C54:D54"/>
    <mergeCell ref="C55:D55"/>
    <mergeCell ref="C44:D44"/>
    <mergeCell ref="C45:D45"/>
    <mergeCell ref="C46:D46"/>
    <mergeCell ref="C47:D47"/>
    <mergeCell ref="C48:D48"/>
    <mergeCell ref="C49:D49"/>
    <mergeCell ref="C38:D38"/>
    <mergeCell ref="C39:D39"/>
    <mergeCell ref="C40:D40"/>
    <mergeCell ref="C41:D41"/>
    <mergeCell ref="C42:D42"/>
    <mergeCell ref="C43:D43"/>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H6:K6"/>
    <mergeCell ref="N6:P6"/>
    <mergeCell ref="H7:K7"/>
    <mergeCell ref="L7:M7"/>
    <mergeCell ref="N7:P7"/>
    <mergeCell ref="H8:K8"/>
    <mergeCell ref="L8:M8"/>
    <mergeCell ref="N8:P8"/>
    <mergeCell ref="D1:P1"/>
    <mergeCell ref="D2:P2"/>
    <mergeCell ref="Q2:Q4"/>
    <mergeCell ref="O3:O4"/>
    <mergeCell ref="H5:K5"/>
    <mergeCell ref="N5:P5"/>
  </mergeCells>
  <conditionalFormatting sqref="C20:D55 C57:D57">
    <cfRule type="duplicateValues" dxfId="2" priority="3"/>
  </conditionalFormatting>
  <conditionalFormatting sqref="C56:D56">
    <cfRule type="duplicateValues" dxfId="1" priority="1"/>
  </conditionalFormatting>
  <conditionalFormatting sqref="C56:D56">
    <cfRule type="duplicateValues" dxfId="0" priority="2"/>
  </conditionalFormatting>
  <dataValidations count="1">
    <dataValidation type="list" allowBlank="1" showInputMessage="1" showErrorMessage="1" sqref="Q21:Q57" xr:uid="{B2F8F374-13BD-4BB2-ACA9-DFBEFEB2D781}">
      <formula1>$I$13:$I$15</formula1>
    </dataValidation>
  </dataValidations>
  <pageMargins left="0.39370078740157483" right="0.31496062992125984" top="0.35433070866141736" bottom="0.35433070866141736" header="0.31496062992125984" footer="0.31496062992125984"/>
  <pageSetup paperSize="9" scale="6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topLeftCell="A4" workbookViewId="0">
      <selection activeCell="A4" sqref="A4"/>
    </sheetView>
  </sheetViews>
  <sheetFormatPr baseColWidth="10" defaultRowHeight="12.75" x14ac:dyDescent="0.2"/>
  <cols>
    <col min="1" max="1" width="33.7109375" style="3" customWidth="1"/>
    <col min="2" max="2" width="17.5703125" style="3" customWidth="1"/>
    <col min="3" max="4" width="18.28515625" style="3" customWidth="1"/>
    <col min="5" max="6" width="15" style="3" bestFit="1" customWidth="1"/>
    <col min="7" max="7" width="13.42578125" style="3" bestFit="1" customWidth="1"/>
    <col min="8" max="8" width="17.140625" style="3" customWidth="1"/>
    <col min="9" max="9" width="15.28515625" style="3" customWidth="1"/>
    <col min="10" max="10" width="15" style="3" customWidth="1"/>
    <col min="11" max="11" width="17.42578125" style="3" customWidth="1"/>
    <col min="12" max="12" width="12.85546875" style="3" bestFit="1" customWidth="1"/>
    <col min="13" max="13" width="11.5703125" style="3" bestFit="1" customWidth="1"/>
    <col min="14" max="16384" width="11.42578125" style="3"/>
  </cols>
  <sheetData>
    <row r="1" spans="1:11" s="23" customFormat="1" ht="18" x14ac:dyDescent="0.25">
      <c r="A1" s="100"/>
      <c r="B1" s="157" t="s">
        <v>136</v>
      </c>
      <c r="C1" s="157"/>
      <c r="D1" s="157"/>
      <c r="E1" s="157"/>
      <c r="F1" s="158"/>
      <c r="G1" s="2"/>
      <c r="H1" s="22"/>
      <c r="I1" s="22"/>
      <c r="J1" s="22"/>
      <c r="K1" s="22"/>
    </row>
    <row r="2" spans="1:11" s="23" customFormat="1" ht="18" x14ac:dyDescent="0.25">
      <c r="A2" s="101"/>
      <c r="B2" s="159" t="s">
        <v>146</v>
      </c>
      <c r="C2" s="159"/>
      <c r="D2" s="159"/>
      <c r="E2" s="159"/>
      <c r="F2" s="160"/>
      <c r="G2" s="5"/>
      <c r="H2" s="22"/>
      <c r="I2" s="22"/>
      <c r="J2" s="22"/>
      <c r="K2" s="22"/>
    </row>
    <row r="3" spans="1:11" s="23" customFormat="1" ht="18" x14ac:dyDescent="0.25">
      <c r="A3" s="101"/>
      <c r="B3" s="159" t="s">
        <v>147</v>
      </c>
      <c r="C3" s="159"/>
      <c r="D3" s="159"/>
      <c r="E3" s="159"/>
      <c r="F3" s="160"/>
      <c r="G3" s="5"/>
      <c r="H3" s="22"/>
      <c r="I3" s="22"/>
      <c r="J3" s="22"/>
      <c r="K3" s="22"/>
    </row>
    <row r="4" spans="1:11" s="23" customFormat="1" ht="18" x14ac:dyDescent="0.25">
      <c r="A4" s="24"/>
      <c r="B4" s="159" t="s">
        <v>10</v>
      </c>
      <c r="C4" s="159"/>
      <c r="D4" s="159"/>
      <c r="E4" s="159"/>
      <c r="F4" s="160"/>
      <c r="G4" s="5"/>
      <c r="H4" s="22"/>
      <c r="I4" s="22"/>
      <c r="J4" s="22"/>
      <c r="K4" s="22"/>
    </row>
    <row r="5" spans="1:11" x14ac:dyDescent="0.2">
      <c r="A5" s="7"/>
      <c r="B5" s="1"/>
      <c r="C5" s="1"/>
      <c r="D5" s="1"/>
      <c r="E5" s="1"/>
      <c r="F5" s="6"/>
      <c r="G5" s="1"/>
      <c r="H5" s="1"/>
      <c r="I5" s="1"/>
      <c r="J5" s="1"/>
      <c r="K5" s="1"/>
    </row>
    <row r="6" spans="1:11" ht="16.5" thickBot="1" x14ac:dyDescent="0.3">
      <c r="A6" s="8"/>
      <c r="B6" s="9" t="s">
        <v>0</v>
      </c>
      <c r="C6" s="122" t="s">
        <v>148</v>
      </c>
      <c r="D6" s="1"/>
      <c r="E6" s="9" t="s">
        <v>1</v>
      </c>
      <c r="F6" s="128">
        <v>45163</v>
      </c>
      <c r="H6" s="1"/>
      <c r="I6" s="1"/>
      <c r="J6" s="1"/>
      <c r="K6" s="1"/>
    </row>
    <row r="7" spans="1:11" ht="16.5" thickBot="1" x14ac:dyDescent="0.3">
      <c r="A7" s="8"/>
      <c r="B7" s="9" t="s">
        <v>2</v>
      </c>
      <c r="C7" s="122" t="s">
        <v>149</v>
      </c>
      <c r="D7" s="1"/>
      <c r="E7" s="9" t="s">
        <v>1</v>
      </c>
      <c r="F7" s="128">
        <f>+F6+10</f>
        <v>45173</v>
      </c>
      <c r="H7" s="1"/>
      <c r="I7" s="1"/>
      <c r="J7" s="1"/>
      <c r="K7" s="1"/>
    </row>
    <row r="8" spans="1:11" ht="15.75" x14ac:dyDescent="0.25">
      <c r="A8" s="7"/>
      <c r="B8" s="1"/>
      <c r="C8" s="1"/>
      <c r="D8" s="1"/>
      <c r="E8" s="1"/>
      <c r="F8" s="6"/>
      <c r="G8" s="10"/>
      <c r="H8" s="1"/>
      <c r="I8" s="1"/>
      <c r="J8" s="1"/>
      <c r="K8" s="1"/>
    </row>
    <row r="9" spans="1:11" ht="13.5" thickBot="1" x14ac:dyDescent="0.25">
      <c r="A9" s="11"/>
      <c r="B9" s="12"/>
      <c r="C9" s="12"/>
      <c r="D9" s="12"/>
      <c r="E9" s="12"/>
      <c r="F9" s="13"/>
      <c r="K9" s="1"/>
    </row>
    <row r="10" spans="1:11" ht="15" customHeight="1" thickBot="1" x14ac:dyDescent="0.25">
      <c r="B10" s="14"/>
      <c r="C10" s="14"/>
      <c r="D10" s="14"/>
      <c r="E10" s="14"/>
      <c r="F10" s="14"/>
      <c r="K10" s="1"/>
    </row>
    <row r="11" spans="1:11" s="17" customFormat="1" ht="30" customHeight="1" thickBot="1" x14ac:dyDescent="0.2">
      <c r="A11" s="15" t="s">
        <v>3</v>
      </c>
      <c r="B11" s="16">
        <v>10201010201001</v>
      </c>
      <c r="C11" s="16">
        <v>10201010301001</v>
      </c>
      <c r="D11" s="16">
        <v>10201010401001</v>
      </c>
      <c r="E11" s="16">
        <v>10201010601001</v>
      </c>
      <c r="F11" s="154" t="s">
        <v>8</v>
      </c>
      <c r="H11" s="156" t="s">
        <v>145</v>
      </c>
      <c r="I11" s="156"/>
      <c r="J11" s="156"/>
    </row>
    <row r="12" spans="1:11" s="17" customFormat="1" ht="21.75" customHeight="1" thickBot="1" x14ac:dyDescent="0.2">
      <c r="A12" s="25" t="s">
        <v>14</v>
      </c>
      <c r="B12" s="26" t="s">
        <v>21</v>
      </c>
      <c r="C12" s="26" t="s">
        <v>138</v>
      </c>
      <c r="D12" s="27" t="s">
        <v>139</v>
      </c>
      <c r="E12" s="26" t="s">
        <v>18</v>
      </c>
      <c r="F12" s="155"/>
      <c r="H12" s="140">
        <v>10202010101001</v>
      </c>
      <c r="I12" s="141">
        <v>10202010101002</v>
      </c>
      <c r="J12" s="154" t="s">
        <v>8</v>
      </c>
    </row>
    <row r="13" spans="1:11" s="18" customFormat="1" ht="17.25" customHeight="1" thickBot="1" x14ac:dyDescent="0.25">
      <c r="A13" s="40" t="s">
        <v>150</v>
      </c>
      <c r="B13" s="123"/>
      <c r="C13" s="123"/>
      <c r="D13" s="123"/>
      <c r="E13" s="123"/>
      <c r="F13" s="28">
        <f>SUM(B13:E13)</f>
        <v>0</v>
      </c>
      <c r="H13" s="142" t="s">
        <v>143</v>
      </c>
      <c r="I13" s="143" t="s">
        <v>144</v>
      </c>
      <c r="J13" s="155"/>
    </row>
    <row r="14" spans="1:11" s="116" customFormat="1" ht="14.25" customHeight="1" x14ac:dyDescent="0.2">
      <c r="A14" s="115" t="s">
        <v>134</v>
      </c>
      <c r="B14" s="29"/>
      <c r="C14" s="29"/>
      <c r="D14" s="29"/>
      <c r="E14" s="29"/>
      <c r="F14" s="28">
        <f t="shared" ref="F14:F19" si="0">SUM(B14:E14)</f>
        <v>0</v>
      </c>
      <c r="H14" s="144"/>
      <c r="I14" s="145"/>
      <c r="J14" s="139">
        <f>SUM(H14:I14)</f>
        <v>0</v>
      </c>
    </row>
    <row r="15" spans="1:11" s="116" customFormat="1" ht="14.25" customHeight="1" x14ac:dyDescent="0.2">
      <c r="A15" s="115" t="s">
        <v>11</v>
      </c>
      <c r="B15" s="29"/>
      <c r="C15" s="29"/>
      <c r="D15" s="29"/>
      <c r="E15" s="29"/>
      <c r="F15" s="28">
        <f t="shared" si="0"/>
        <v>0</v>
      </c>
      <c r="H15" s="129"/>
      <c r="I15" s="135"/>
      <c r="J15" s="134">
        <f t="shared" ref="J15:J20" si="1">SUM(H15:I15)</f>
        <v>0</v>
      </c>
    </row>
    <row r="16" spans="1:11" s="116" customFormat="1" ht="14.25" customHeight="1" x14ac:dyDescent="0.2">
      <c r="A16" s="115" t="s">
        <v>135</v>
      </c>
      <c r="B16" s="29"/>
      <c r="C16" s="29"/>
      <c r="D16" s="29"/>
      <c r="E16" s="29"/>
      <c r="F16" s="28">
        <f t="shared" si="0"/>
        <v>0</v>
      </c>
      <c r="H16" s="129"/>
      <c r="I16" s="135"/>
      <c r="J16" s="134">
        <f t="shared" si="1"/>
        <v>0</v>
      </c>
    </row>
    <row r="17" spans="1:11" s="17" customFormat="1" ht="14.25" customHeight="1" x14ac:dyDescent="0.2">
      <c r="A17" s="41" t="s">
        <v>24</v>
      </c>
      <c r="B17" s="29"/>
      <c r="C17" s="29"/>
      <c r="D17" s="29"/>
      <c r="E17" s="30"/>
      <c r="F17" s="28">
        <f t="shared" si="0"/>
        <v>0</v>
      </c>
      <c r="H17" s="130"/>
      <c r="I17" s="136"/>
      <c r="J17" s="134">
        <f t="shared" si="1"/>
        <v>0</v>
      </c>
    </row>
    <row r="18" spans="1:11" s="17" customFormat="1" ht="14.25" customHeight="1" x14ac:dyDescent="0.2">
      <c r="A18" s="41" t="s">
        <v>5</v>
      </c>
      <c r="B18" s="32"/>
      <c r="C18" s="33"/>
      <c r="D18" s="33"/>
      <c r="E18" s="30"/>
      <c r="F18" s="28">
        <f t="shared" si="0"/>
        <v>0</v>
      </c>
      <c r="H18" s="130"/>
      <c r="I18" s="136"/>
      <c r="J18" s="134">
        <f t="shared" si="1"/>
        <v>0</v>
      </c>
    </row>
    <row r="19" spans="1:11" s="17" customFormat="1" ht="14.25" customHeight="1" x14ac:dyDescent="0.2">
      <c r="A19" s="41" t="s">
        <v>6</v>
      </c>
      <c r="B19" s="29"/>
      <c r="C19" s="29"/>
      <c r="D19" s="30"/>
      <c r="E19" s="30"/>
      <c r="F19" s="28">
        <f t="shared" si="0"/>
        <v>0</v>
      </c>
      <c r="H19" s="130"/>
      <c r="I19" s="136"/>
      <c r="J19" s="134">
        <f t="shared" si="1"/>
        <v>0</v>
      </c>
    </row>
    <row r="20" spans="1:11" s="17" customFormat="1" ht="14.25" customHeight="1" thickBot="1" x14ac:dyDescent="0.25">
      <c r="A20" s="42"/>
      <c r="B20" s="34"/>
      <c r="C20" s="34"/>
      <c r="D20" s="34"/>
      <c r="E20" s="34"/>
      <c r="F20" s="28">
        <f>SUM(B20:E20)</f>
        <v>0</v>
      </c>
      <c r="H20" s="133"/>
      <c r="I20" s="131"/>
      <c r="J20" s="137">
        <f t="shared" si="1"/>
        <v>0</v>
      </c>
    </row>
    <row r="21" spans="1:11" s="17" customFormat="1" ht="14.25" customHeight="1" thickBot="1" x14ac:dyDescent="0.25">
      <c r="A21" s="38" t="s">
        <v>151</v>
      </c>
      <c r="B21" s="35">
        <f>SUM(B13:B20)</f>
        <v>0</v>
      </c>
      <c r="C21" s="35">
        <f>SUM(C13:C20)</f>
        <v>0</v>
      </c>
      <c r="D21" s="36">
        <f>SUM(D13:D20)</f>
        <v>0</v>
      </c>
      <c r="E21" s="37">
        <f>SUM(E13:E20)</f>
        <v>0</v>
      </c>
      <c r="F21" s="39">
        <f>SUM(B21:E21)</f>
        <v>0</v>
      </c>
      <c r="H21" s="132">
        <f>SUM(H14:H20)</f>
        <v>0</v>
      </c>
      <c r="I21" s="132">
        <f>SUM(I14:I20)</f>
        <v>0</v>
      </c>
      <c r="J21" s="138">
        <f>SUM(J14:J20)</f>
        <v>0</v>
      </c>
    </row>
    <row r="22" spans="1:11" x14ac:dyDescent="0.2">
      <c r="A22" s="19"/>
      <c r="K22" s="1"/>
    </row>
    <row r="23" spans="1:11" x14ac:dyDescent="0.2">
      <c r="A23" s="20"/>
      <c r="K23" s="1"/>
    </row>
    <row r="24" spans="1:11" x14ac:dyDescent="0.2">
      <c r="A24" s="21"/>
      <c r="K24" s="1"/>
    </row>
    <row r="25" spans="1:11" x14ac:dyDescent="0.2">
      <c r="A25" s="1"/>
      <c r="K25" s="1"/>
    </row>
    <row r="26" spans="1:11" x14ac:dyDescent="0.2">
      <c r="A26" s="1"/>
    </row>
    <row r="27" spans="1:11" x14ac:dyDescent="0.2">
      <c r="A27" s="1"/>
    </row>
    <row r="28" spans="1:11" x14ac:dyDescent="0.2">
      <c r="A28" s="1"/>
    </row>
    <row r="29" spans="1:11" x14ac:dyDescent="0.2">
      <c r="A29" s="1"/>
    </row>
    <row r="30" spans="1:11" x14ac:dyDescent="0.2">
      <c r="A30" s="9"/>
    </row>
    <row r="31" spans="1:11" x14ac:dyDescent="0.2">
      <c r="A31" s="1"/>
    </row>
  </sheetData>
  <mergeCells count="7">
    <mergeCell ref="J12:J13"/>
    <mergeCell ref="H11:J11"/>
    <mergeCell ref="F11:F12"/>
    <mergeCell ref="B1:F1"/>
    <mergeCell ref="B2:F2"/>
    <mergeCell ref="B3:F3"/>
    <mergeCell ref="B4:F4"/>
  </mergeCells>
  <phoneticPr fontId="4" type="noConversion"/>
  <pageMargins left="1.83" right="0.15748031496062992" top="0.70866141732283472" bottom="0.15748031496062992" header="0" footer="0"/>
  <pageSetup paperSize="9" scale="80" orientation="landscape" r:id="rId1"/>
  <headerFooter alignWithMargins="0">
    <oddFooter>Página &amp;P&amp;R1 I 2 detalles de activos fijos SEALTIEL 2016</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39"/>
  <sheetViews>
    <sheetView zoomScaleNormal="100" workbookViewId="0">
      <selection activeCell="A6" sqref="A6"/>
    </sheetView>
  </sheetViews>
  <sheetFormatPr baseColWidth="10" defaultRowHeight="12.75" x14ac:dyDescent="0.2"/>
  <cols>
    <col min="1" max="1" width="40.42578125" style="1" customWidth="1"/>
    <col min="2" max="2" width="21.140625" style="1" customWidth="1"/>
    <col min="3" max="3" width="19.42578125" style="1" bestFit="1" customWidth="1"/>
    <col min="4" max="4" width="18.85546875" style="1" bestFit="1" customWidth="1"/>
    <col min="5" max="5" width="21.140625" style="1" customWidth="1"/>
    <col min="6" max="6" width="16.85546875" style="1" customWidth="1"/>
    <col min="7" max="7" width="21.140625" style="1" customWidth="1"/>
    <col min="8" max="8" width="13.42578125" style="1" customWidth="1"/>
    <col min="9" max="16384" width="11.42578125" style="3"/>
  </cols>
  <sheetData>
    <row r="1" spans="1:9" s="23" customFormat="1" ht="18" customHeight="1" x14ac:dyDescent="0.25">
      <c r="A1" s="22"/>
      <c r="B1" s="166" t="s">
        <v>136</v>
      </c>
      <c r="C1" s="166"/>
      <c r="D1" s="166"/>
      <c r="E1" s="166"/>
      <c r="F1" s="166"/>
      <c r="G1" s="167"/>
    </row>
    <row r="2" spans="1:9" s="23" customFormat="1" ht="18" x14ac:dyDescent="0.25">
      <c r="A2" s="4"/>
      <c r="B2" s="163" t="str">
        <f>+'111 Mov. activos fijos'!B2</f>
        <v>EMPRESA *****</v>
      </c>
      <c r="C2" s="163"/>
      <c r="D2" s="163"/>
      <c r="E2" s="163"/>
      <c r="F2" s="163"/>
      <c r="G2" s="164"/>
    </row>
    <row r="3" spans="1:9" s="23" customFormat="1" ht="18" x14ac:dyDescent="0.25">
      <c r="A3" s="4"/>
      <c r="B3" s="163" t="s">
        <v>152</v>
      </c>
      <c r="C3" s="163"/>
      <c r="D3" s="163"/>
      <c r="E3" s="163"/>
      <c r="F3" s="163"/>
      <c r="G3" s="164"/>
    </row>
    <row r="4" spans="1:9" s="23" customFormat="1" ht="18" customHeight="1" x14ac:dyDescent="0.25">
      <c r="A4" s="22"/>
      <c r="B4" s="22"/>
      <c r="C4" s="163"/>
      <c r="D4" s="163"/>
      <c r="E4" s="163"/>
      <c r="F4" s="163"/>
      <c r="G4" s="164"/>
    </row>
    <row r="5" spans="1:9" s="23" customFormat="1" ht="18" x14ac:dyDescent="0.25">
      <c r="A5" s="5"/>
      <c r="B5" s="5"/>
      <c r="C5" s="159" t="s">
        <v>17</v>
      </c>
      <c r="D5" s="159"/>
      <c r="E5" s="159"/>
      <c r="F5" s="159"/>
      <c r="G5" s="160"/>
    </row>
    <row r="6" spans="1:9" ht="15.75" x14ac:dyDescent="0.25">
      <c r="A6" s="19"/>
      <c r="B6" s="19"/>
      <c r="D6" s="10"/>
      <c r="E6" s="10"/>
      <c r="G6" s="6"/>
      <c r="H6" s="3"/>
    </row>
    <row r="7" spans="1:9" ht="16.5" thickBot="1" x14ac:dyDescent="0.3">
      <c r="A7" s="7"/>
      <c r="B7" s="104" t="s">
        <v>15</v>
      </c>
      <c r="C7" s="43" t="str">
        <f>+'111 Mov. activos fijos'!C6</f>
        <v>K.B</v>
      </c>
      <c r="E7" s="104" t="s">
        <v>39</v>
      </c>
      <c r="F7" s="44">
        <f>+'111 Mov. activos fijos'!F6</f>
        <v>45163</v>
      </c>
      <c r="G7" s="6"/>
      <c r="H7" s="3"/>
    </row>
    <row r="8" spans="1:9" ht="16.5" thickBot="1" x14ac:dyDescent="0.3">
      <c r="A8" s="7"/>
      <c r="B8" s="104" t="s">
        <v>16</v>
      </c>
      <c r="C8" s="43" t="str">
        <f>+'111 Mov. activos fijos'!C7</f>
        <v>E.P.</v>
      </c>
      <c r="E8" s="104" t="s">
        <v>39</v>
      </c>
      <c r="F8" s="44">
        <f>+F7+2</f>
        <v>45165</v>
      </c>
      <c r="G8" s="6"/>
      <c r="H8" s="3"/>
    </row>
    <row r="9" spans="1:9" ht="16.5" thickBot="1" x14ac:dyDescent="0.3">
      <c r="A9" s="11"/>
      <c r="B9" s="105"/>
      <c r="C9" s="12"/>
      <c r="D9" s="45"/>
      <c r="E9" s="45"/>
      <c r="F9" s="45"/>
      <c r="G9" s="13"/>
      <c r="H9" s="3"/>
    </row>
    <row r="10" spans="1:9" x14ac:dyDescent="0.2">
      <c r="A10" s="3"/>
      <c r="B10" s="3"/>
      <c r="C10" s="3"/>
      <c r="D10" s="3"/>
      <c r="E10" s="3"/>
      <c r="F10" s="3"/>
      <c r="G10" s="3"/>
      <c r="H10" s="3"/>
    </row>
    <row r="11" spans="1:9" ht="13.5" thickBot="1" x14ac:dyDescent="0.25">
      <c r="A11" s="3"/>
      <c r="B11" s="165"/>
      <c r="C11" s="165"/>
      <c r="D11" s="46"/>
      <c r="E11" s="3"/>
      <c r="F11" s="3"/>
      <c r="G11" s="3"/>
      <c r="H11" s="3"/>
    </row>
    <row r="12" spans="1:9" ht="15" thickBot="1" x14ac:dyDescent="0.25">
      <c r="A12" s="47" t="s">
        <v>3</v>
      </c>
      <c r="B12" s="48">
        <v>10201010201002</v>
      </c>
      <c r="C12" s="49">
        <v>10201010301002</v>
      </c>
      <c r="D12" s="50">
        <v>10201010401002</v>
      </c>
      <c r="E12" s="51">
        <v>10201010601002</v>
      </c>
      <c r="F12" s="52" t="s">
        <v>20</v>
      </c>
      <c r="G12" s="161" t="s">
        <v>8</v>
      </c>
      <c r="H12" s="3"/>
    </row>
    <row r="13" spans="1:9" ht="26.25" customHeight="1" thickBot="1" x14ac:dyDescent="0.25">
      <c r="A13" s="53" t="s">
        <v>4</v>
      </c>
      <c r="B13" s="125" t="s">
        <v>21</v>
      </c>
      <c r="C13" s="125" t="s">
        <v>138</v>
      </c>
      <c r="D13" s="126" t="s">
        <v>139</v>
      </c>
      <c r="E13" s="125" t="s">
        <v>18</v>
      </c>
      <c r="F13" s="54"/>
      <c r="G13" s="162"/>
      <c r="H13" s="3"/>
    </row>
    <row r="14" spans="1:9" ht="14.25" x14ac:dyDescent="0.2">
      <c r="A14" s="55" t="str">
        <f>+'111 Mov. activos fijos'!A13</f>
        <v>saldo iniciales 31 de diciembre 2022</v>
      </c>
      <c r="B14" s="79"/>
      <c r="C14" s="80"/>
      <c r="D14" s="80"/>
      <c r="E14" s="81"/>
      <c r="F14" s="81"/>
      <c r="G14" s="56">
        <f t="shared" ref="G14:G21" si="0">SUM(B14:F14)</f>
        <v>0</v>
      </c>
      <c r="H14" s="57"/>
    </row>
    <row r="15" spans="1:9" x14ac:dyDescent="0.2">
      <c r="A15" s="31" t="s">
        <v>13</v>
      </c>
      <c r="B15" s="58"/>
      <c r="C15" s="59"/>
      <c r="D15" s="60"/>
      <c r="E15" s="59"/>
      <c r="F15" s="60"/>
      <c r="G15" s="61">
        <f t="shared" si="0"/>
        <v>0</v>
      </c>
      <c r="H15" s="57"/>
    </row>
    <row r="16" spans="1:9" x14ac:dyDescent="0.2">
      <c r="A16" s="31" t="s">
        <v>19</v>
      </c>
      <c r="B16" s="58"/>
      <c r="C16" s="58"/>
      <c r="D16" s="62"/>
      <c r="E16" s="62"/>
      <c r="F16" s="62"/>
      <c r="G16" s="61">
        <f t="shared" si="0"/>
        <v>0</v>
      </c>
      <c r="H16" s="3"/>
      <c r="I16" s="63"/>
    </row>
    <row r="17" spans="1:24" x14ac:dyDescent="0.2">
      <c r="A17" s="41" t="s">
        <v>7</v>
      </c>
      <c r="B17" s="30"/>
      <c r="C17" s="60"/>
      <c r="D17" s="60"/>
      <c r="E17" s="60"/>
      <c r="F17" s="60"/>
      <c r="G17" s="61">
        <f t="shared" si="0"/>
        <v>0</v>
      </c>
      <c r="H17" s="3"/>
    </row>
    <row r="18" spans="1:24" x14ac:dyDescent="0.2">
      <c r="A18" s="64" t="s">
        <v>12</v>
      </c>
      <c r="B18" s="65"/>
      <c r="C18" s="65"/>
      <c r="D18" s="60"/>
      <c r="E18" s="60"/>
      <c r="F18" s="60"/>
      <c r="G18" s="61">
        <f t="shared" si="0"/>
        <v>0</v>
      </c>
      <c r="H18" s="3"/>
    </row>
    <row r="19" spans="1:24" x14ac:dyDescent="0.2">
      <c r="A19" s="41" t="s">
        <v>9</v>
      </c>
      <c r="B19" s="30"/>
      <c r="C19" s="30"/>
      <c r="D19" s="30"/>
      <c r="E19" s="30"/>
      <c r="F19" s="30"/>
      <c r="G19" s="61">
        <f t="shared" si="0"/>
        <v>0</v>
      </c>
      <c r="H19" s="3"/>
    </row>
    <row r="20" spans="1:24" x14ac:dyDescent="0.2">
      <c r="A20" s="41" t="s">
        <v>6</v>
      </c>
      <c r="B20" s="33"/>
      <c r="C20" s="33"/>
      <c r="D20" s="66"/>
      <c r="E20" s="66"/>
      <c r="F20" s="66"/>
      <c r="G20" s="61">
        <f t="shared" si="0"/>
        <v>0</v>
      </c>
      <c r="H20" s="3"/>
    </row>
    <row r="21" spans="1:24" ht="13.5" thickBot="1" x14ac:dyDescent="0.25">
      <c r="A21" s="42"/>
      <c r="B21" s="67"/>
      <c r="C21" s="67"/>
      <c r="D21" s="68"/>
      <c r="E21" s="68"/>
      <c r="F21" s="68"/>
      <c r="G21" s="69">
        <f t="shared" si="0"/>
        <v>0</v>
      </c>
      <c r="I21" s="1"/>
      <c r="K21" s="1"/>
      <c r="M21" s="1"/>
      <c r="N21" s="1"/>
      <c r="O21" s="1"/>
    </row>
    <row r="22" spans="1:24" ht="14.25" customHeight="1" thickBot="1" x14ac:dyDescent="0.25">
      <c r="A22" s="70" t="str">
        <f>+'111 Mov. activos fijos'!A21</f>
        <v>Saldo Final 31 De Diciembre del 2023</v>
      </c>
      <c r="B22" s="71">
        <f t="shared" ref="B22:G22" si="1">SUM(B14:B21)</f>
        <v>0</v>
      </c>
      <c r="C22" s="71">
        <f t="shared" si="1"/>
        <v>0</v>
      </c>
      <c r="D22" s="71">
        <f t="shared" si="1"/>
        <v>0</v>
      </c>
      <c r="E22" s="71">
        <f t="shared" si="1"/>
        <v>0</v>
      </c>
      <c r="F22" s="71">
        <f t="shared" si="1"/>
        <v>0</v>
      </c>
      <c r="G22" s="72">
        <f t="shared" si="1"/>
        <v>0</v>
      </c>
      <c r="H22" s="73"/>
      <c r="I22" s="1"/>
      <c r="K22" s="74"/>
      <c r="M22" s="75"/>
      <c r="N22" s="1"/>
      <c r="O22" s="1"/>
      <c r="P22" s="1"/>
      <c r="Q22" s="1"/>
      <c r="R22" s="1"/>
      <c r="S22" s="1"/>
      <c r="T22" s="1"/>
      <c r="U22" s="1"/>
      <c r="V22" s="1"/>
      <c r="W22" s="1"/>
      <c r="X22" s="1"/>
    </row>
    <row r="23" spans="1:24" x14ac:dyDescent="0.2">
      <c r="A23" s="3"/>
      <c r="B23" s="3"/>
      <c r="C23" s="3"/>
      <c r="D23" s="3"/>
      <c r="E23" s="3"/>
      <c r="F23" s="3"/>
      <c r="I23" s="1"/>
      <c r="J23" s="1"/>
      <c r="K23" s="1"/>
      <c r="L23" s="1"/>
      <c r="M23" s="1"/>
      <c r="N23" s="1"/>
    </row>
    <row r="24" spans="1:24" x14ac:dyDescent="0.2">
      <c r="A24" s="3"/>
      <c r="B24" s="3"/>
      <c r="C24" s="3"/>
      <c r="D24" s="32"/>
      <c r="F24" s="32"/>
      <c r="G24" s="3"/>
      <c r="H24" s="3"/>
    </row>
    <row r="25" spans="1:24" ht="29.25" x14ac:dyDescent="0.25">
      <c r="A25" s="14"/>
      <c r="B25" s="106" t="s">
        <v>22</v>
      </c>
      <c r="C25" s="107"/>
      <c r="D25" s="10"/>
      <c r="E25" s="112" t="s">
        <v>26</v>
      </c>
      <c r="F25" s="82" t="s">
        <v>137</v>
      </c>
      <c r="G25" s="83" t="s">
        <v>142</v>
      </c>
      <c r="H25" s="19" t="s">
        <v>23</v>
      </c>
      <c r="J25" s="10"/>
    </row>
    <row r="26" spans="1:24" ht="15.75" x14ac:dyDescent="0.25">
      <c r="A26" s="108">
        <f>+'111 Mov. activos fijos'!B11</f>
        <v>10201010201001</v>
      </c>
      <c r="B26" s="109" t="str">
        <f>+'111 Mov. activos fijos'!B12</f>
        <v>PLANTAS Y EQUIPOS</v>
      </c>
      <c r="C26" s="110">
        <f>+'111 Mov. activos fijos'!B13</f>
        <v>0</v>
      </c>
      <c r="D26" s="77">
        <v>0.1</v>
      </c>
      <c r="E26" s="78">
        <f>+C26*D26/12</f>
        <v>0</v>
      </c>
      <c r="F26" s="76">
        <f>+E26*8</f>
        <v>0</v>
      </c>
      <c r="G26" s="76">
        <f>+B15</f>
        <v>0</v>
      </c>
      <c r="H26" s="78">
        <f>+F26-G26</f>
        <v>0</v>
      </c>
      <c r="J26" s="78"/>
    </row>
    <row r="27" spans="1:24" ht="15.75" x14ac:dyDescent="0.25">
      <c r="A27" s="108">
        <f>+'111 Mov. activos fijos'!C11</f>
        <v>10201010301001</v>
      </c>
      <c r="B27" s="109" t="str">
        <f>+'111 Mov. activos fijos'!C12</f>
        <v>MUEBLES Y ENSERES</v>
      </c>
      <c r="C27" s="111">
        <f>+'111 Mov. activos fijos'!C13</f>
        <v>0</v>
      </c>
      <c r="D27" s="77">
        <v>0.1</v>
      </c>
      <c r="E27" s="78">
        <f>+C27*D27/12</f>
        <v>0</v>
      </c>
      <c r="F27" s="76">
        <f>+E27*8</f>
        <v>0</v>
      </c>
      <c r="G27" s="76">
        <f>+C15</f>
        <v>0</v>
      </c>
      <c r="H27" s="78">
        <f>+F27-G27</f>
        <v>0</v>
      </c>
      <c r="J27" s="78"/>
    </row>
    <row r="28" spans="1:24" ht="15.75" x14ac:dyDescent="0.25">
      <c r="A28" s="108">
        <f>+'111 Mov. activos fijos'!D11</f>
        <v>10201010401001</v>
      </c>
      <c r="B28" s="109" t="str">
        <f>+'111 Mov. activos fijos'!D12</f>
        <v>EQUIPO DE COMPUTACION</v>
      </c>
      <c r="C28" s="111">
        <f>+'111 Mov. activos fijos'!D13</f>
        <v>0</v>
      </c>
      <c r="D28" s="77">
        <v>0.33329999999999999</v>
      </c>
      <c r="E28" s="78">
        <f>+C28*D28/12</f>
        <v>0</v>
      </c>
      <c r="F28" s="76">
        <v>0</v>
      </c>
      <c r="G28" s="76">
        <f>+D15</f>
        <v>0</v>
      </c>
      <c r="H28" s="78">
        <f>+F28-G28</f>
        <v>0</v>
      </c>
      <c r="J28" s="78"/>
    </row>
    <row r="29" spans="1:24" ht="15.75" x14ac:dyDescent="0.25">
      <c r="A29" s="108">
        <f>+'111 Mov. activos fijos'!E11</f>
        <v>10201010601001</v>
      </c>
      <c r="B29" s="109" t="str">
        <f>+'111 Mov. activos fijos'!E12</f>
        <v>VEHICULOS</v>
      </c>
      <c r="C29" s="127">
        <f>+'111 Mov. activos fijos'!E13</f>
        <v>0</v>
      </c>
      <c r="D29" s="77">
        <v>0.2</v>
      </c>
      <c r="E29" s="78">
        <f>+C29*D29/12</f>
        <v>0</v>
      </c>
      <c r="F29" s="76">
        <f>+E29*8</f>
        <v>0</v>
      </c>
      <c r="G29" s="76">
        <f>+E15</f>
        <v>0</v>
      </c>
      <c r="H29" s="78">
        <f>+F29-G29</f>
        <v>0</v>
      </c>
    </row>
    <row r="30" spans="1:24" ht="13.5" thickBot="1" x14ac:dyDescent="0.25">
      <c r="G30" s="103">
        <f>SUM(G26:G29)</f>
        <v>0</v>
      </c>
      <c r="H30" s="102">
        <f>SUM(H26:H29)</f>
        <v>0</v>
      </c>
    </row>
    <row r="31" spans="1:24" ht="16.5" thickTop="1" x14ac:dyDescent="0.25">
      <c r="C31" s="113"/>
      <c r="D31" s="77"/>
      <c r="E31" s="78"/>
      <c r="F31" s="76"/>
    </row>
    <row r="33" spans="1:8" x14ac:dyDescent="0.2">
      <c r="A33" s="114"/>
      <c r="B33" s="9"/>
      <c r="C33" s="114"/>
    </row>
    <row r="34" spans="1:8" x14ac:dyDescent="0.2">
      <c r="E34" s="118"/>
      <c r="F34" s="119" t="s">
        <v>133</v>
      </c>
      <c r="G34" s="120"/>
      <c r="H34" s="9"/>
    </row>
    <row r="35" spans="1:8" x14ac:dyDescent="0.2">
      <c r="E35" s="118"/>
      <c r="F35" s="119"/>
      <c r="G35" s="120"/>
      <c r="H35" s="9"/>
    </row>
    <row r="36" spans="1:8" x14ac:dyDescent="0.2">
      <c r="E36" s="121">
        <v>50203012301001</v>
      </c>
      <c r="F36" s="119" t="s">
        <v>140</v>
      </c>
      <c r="G36" s="124"/>
      <c r="H36" s="9"/>
    </row>
    <row r="37" spans="1:8" x14ac:dyDescent="0.2">
      <c r="C37" s="76"/>
      <c r="E37" s="121">
        <v>50203012301002</v>
      </c>
      <c r="F37" s="119" t="s">
        <v>141</v>
      </c>
      <c r="G37" s="124"/>
      <c r="H37" s="9"/>
    </row>
    <row r="38" spans="1:8" ht="13.5" thickBot="1" x14ac:dyDescent="0.25">
      <c r="E38" s="9"/>
      <c r="F38" s="9"/>
      <c r="G38" s="117">
        <f>+G30-G36-G37</f>
        <v>0</v>
      </c>
    </row>
    <row r="39" spans="1:8" ht="13.5" thickTop="1" x14ac:dyDescent="0.2"/>
  </sheetData>
  <mergeCells count="7">
    <mergeCell ref="G12:G13"/>
    <mergeCell ref="C4:G4"/>
    <mergeCell ref="C5:G5"/>
    <mergeCell ref="B11:C11"/>
    <mergeCell ref="B1:G1"/>
    <mergeCell ref="B2:G2"/>
    <mergeCell ref="B3:G3"/>
  </mergeCells>
  <pageMargins left="0.35433070866141736" right="0.23622047244094491" top="0.19685039370078741" bottom="0.39370078740157483" header="0.23622047244094491" footer="0.15748031496062992"/>
  <pageSetup paperSize="9" scale="77" orientation="landscape" r:id="rId1"/>
  <headerFooter>
    <oddFooter>&amp;CPágina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111-1</vt:lpstr>
      <vt:lpstr>P-111</vt:lpstr>
      <vt:lpstr>111 Mov. activos fijos</vt:lpstr>
      <vt:lpstr>111 Deprec. Activos</vt:lpstr>
      <vt:lpstr>'P-111'!Área_de_impresión</vt:lpstr>
      <vt:lpstr>'P-111'!Títulos_a_imprimir</vt:lpstr>
    </vt:vector>
  </TitlesOfParts>
  <Company>CISNEROS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 CISNEROS</dc:creator>
  <cp:lastModifiedBy>Usuario</cp:lastModifiedBy>
  <cp:lastPrinted>2021-03-03T18:03:18Z</cp:lastPrinted>
  <dcterms:created xsi:type="dcterms:W3CDTF">2008-12-10T16:02:03Z</dcterms:created>
  <dcterms:modified xsi:type="dcterms:W3CDTF">2023-08-25T15:10:20Z</dcterms:modified>
</cp:coreProperties>
</file>