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1 AAA\2023\0. AUDITORÍA MODELO 3ANG 2023\2. ANÁLISIS\2- 105. Gastos Anticipados\"/>
    </mc:Choice>
  </mc:AlternateContent>
  <xr:revisionPtr revIDLastSave="0" documentId="8_{CA79E3FF-4BE7-4C4B-BA60-3DB05D645440}" xr6:coauthVersionLast="47" xr6:coauthVersionMax="47" xr10:uidLastSave="{00000000-0000-0000-0000-000000000000}"/>
  <bookViews>
    <workbookView xWindow="-120" yWindow="-120" windowWidth="20730" windowHeight="11040" activeTab="1" xr2:uid="{C01DF4CF-661E-4C3A-B719-4374E6887245}"/>
  </bookViews>
  <sheets>
    <sheet name="105-1" sheetId="3" r:id="rId1"/>
    <sheet name="P-105" sheetId="2" r:id="rId2"/>
  </sheets>
  <definedNames>
    <definedName name="_xlnm.Print_Area" localSheetId="0">'105-1'!$B$1:$E$35</definedName>
    <definedName name="_xlnm.Print_Area" localSheetId="1">'P-105'!$B$1:$Q$70</definedName>
    <definedName name="_xlnm.Print_Titles" localSheetId="1">'P-105'!$1:$19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 i="3" l="1"/>
  <c r="C18" i="3" s="1"/>
  <c r="D4" i="3"/>
  <c r="H8" i="2"/>
  <c r="L8" i="2"/>
</calcChain>
</file>

<file path=xl/sharedStrings.xml><?xml version="1.0" encoding="utf-8"?>
<sst xmlns="http://schemas.openxmlformats.org/spreadsheetml/2006/main" count="224" uniqueCount="168">
  <si>
    <t>CONCLUSIÓN DEL ÁREA</t>
  </si>
  <si>
    <t>105-</t>
  </si>
  <si>
    <t>Concluya en la sumaria sobre los objetivos de la sección.</t>
  </si>
  <si>
    <t>Investigar la existencia de saldos crédito y reclasificarlos en una cuenta de pasivo.</t>
  </si>
  <si>
    <t>Examinar las pólizas de seguros en vigor al fin de año; anotar quien, qué y por cuanto está asegurado y la importancia de cualquier cláusula especial; comparar las partidas pendientes con el registro.</t>
  </si>
  <si>
    <t>Examinar los asientos del registro de seguros en el año comprobarlos contra las facturas, comprobar la exactitud de las distribucion</t>
  </si>
  <si>
    <t>Determinar si es correcto que se difieran o amorticen cargos diferidos poco comunes.</t>
  </si>
  <si>
    <t>Revisar los asientos de gastos pagados por anticipado para identificar partidas inusuales o significativas.</t>
  </si>
  <si>
    <t xml:space="preserve"> Preparar un análisis de cargos diferidos y gastos pagados por anticipado, indicando la base y determinando la corrección de los costos de las acumulaciones y las cancelaciones.</t>
  </si>
  <si>
    <t>PROCEDIMEINRO DE GASTOS DIFERIDOS</t>
  </si>
  <si>
    <t>Si los cargos diferidos incluyen partidas tales como inventarios de papelería, de material de propaganda, etc., el trabajo a desarrollar es similar al efectuado en el renglón de inventarios.</t>
  </si>
  <si>
    <t>Comprobar la exactitud aritmética de la porción diferida de cualquier otro gasto anticipado de importancia como rentas anticipadas, intereses pagados por adelantado, etc. Asegurarse que existe una razón justificada para diferir tales gastos.</t>
  </si>
  <si>
    <t>Actualice el memorando que describe el Control Interno existente en esta sección y concluya si es satisfactorio o no.</t>
  </si>
  <si>
    <t>Revisar que exista un control sobre los suministros de oficina y que existan políticas para la adecuada utilización de estos elementos, igualmente que prevengan hurtos que afecten considerablemente a la empresa.</t>
  </si>
  <si>
    <t>Observar si se emplean procedimientos para revisar la correcta erogación de los gastos pagados por anticipado, para comprobar así la valuación de este componente.</t>
  </si>
  <si>
    <t>Compruebe que se esté amortizando el gastos arriendo.</t>
  </si>
  <si>
    <t>Verifique contratos de arrendamiento.</t>
  </si>
  <si>
    <t>ARRIENDO</t>
  </si>
  <si>
    <t>Solicite polizas y elabore le papel de trabajo analítico de Pagos Anticipados.</t>
  </si>
  <si>
    <t>Cruzar  los intereses por devengar.</t>
  </si>
  <si>
    <t>Integrar conceptos de pagos anticipados.</t>
  </si>
  <si>
    <t>Analizar esta sección, para determinar que son pagos anticipados y que son gastos por amortizar.</t>
  </si>
  <si>
    <t xml:space="preserve">Analizar los Pagos anticipados que tienen contabilizados verificando su amortización en resultados. </t>
  </si>
  <si>
    <t>Verificar documentalmente los intereses pagados por anticipado determinando los devengados en el ejercicio asi como los que quedan por devengar.</t>
  </si>
  <si>
    <t>Revise los Intereses pagados por anticipado.</t>
  </si>
  <si>
    <t>INTERESES PAGADOS POR ANTICIPADO</t>
  </si>
  <si>
    <t>Verificar calculo de amortización y referencie su cargo a resultados.</t>
  </si>
  <si>
    <t>Efectuar un alcance a las pruebas efectuadas en las visitas anteriores de las otras cuentas que no constituyan seguros prepagados.</t>
  </si>
  <si>
    <t>En caso de no ser una variación importante no se realizará pruebas de auditoría y explique en una nota.</t>
  </si>
  <si>
    <t>Verificar si en los meses restantes de la revision preliminar y la final se contrataron nuevas pólizas, consideradas importantes para la Compañía.</t>
  </si>
  <si>
    <t>realice una hoja detalle de los impuestos pagados de iva y retencion en la fuente y verifique que los saldos pendientes de cancelacion sean los valores de los balances cruce y investigue las diferencias.</t>
  </si>
  <si>
    <t>.</t>
  </si>
  <si>
    <t>Para otros pagos anticipados, proceder a realizar una comparación entre los saldos iniciales del año y los de cierre, y revise contra documentos soportes aquellas partidas que llamen su atención.</t>
  </si>
  <si>
    <t>Para impuestos anticipados, verificar que se mantienen los documentos soportes adecuados y cruzar los saldos al área respectiva.</t>
  </si>
  <si>
    <t>Realice una hoja detalle de los impuestos pagados de iva y retencion en la fuente y verifique que los saldos pendientes de cancelacion sean los valores de los balances</t>
  </si>
  <si>
    <t>IMPUESTOS ANTICIPADOS</t>
  </si>
  <si>
    <t>Indague si existen polizas que esté pagando la empresa y que la empresa como tal no sea la beneficiaria.</t>
  </si>
  <si>
    <t>Determine que el gasto Seguros se haya registrado en el período analizado.</t>
  </si>
  <si>
    <t>· Con los datos obtenidos proceder a realizar una prueba de los valores amortizados y ligar contra gastos y de igual forma proceder para determinar los saldos por amortizar y ligar al balance.</t>
  </si>
  <si>
    <t>·% de cobertura con relación al total de activos asegurados.</t>
  </si>
  <si>
    <t>· Determinar la vigencia de las pólizas.</t>
  </si>
  <si>
    <t>· Que los bienes asegurados son de propiedad de la Compañía.</t>
  </si>
  <si>
    <t>Obtener o preparar un detalle de las pólizas de los seguros validando los documentos originales y examine:</t>
  </si>
  <si>
    <t>POLIZAS DE SEGURO</t>
  </si>
  <si>
    <t>Realizar un cuadro de variaciones, en el que se refleje si la variación entre diciembre del periodo anterior y la fecha de corte del periodo actual, es significativa o no.</t>
  </si>
  <si>
    <t>x</t>
  </si>
  <si>
    <t>Obtener un listado de los gastos pagados por anticipado que la Compañía mantiene a la fecha de corte y cotejar contra balance.</t>
  </si>
  <si>
    <t>Aplique cuestionario de control Interno</t>
  </si>
  <si>
    <t>Prel y Final</t>
  </si>
  <si>
    <t>PAGOS ANTICIPADOS Y CARGOS DIFERIDOS</t>
  </si>
  <si>
    <t>Realizar Reporte Diario de trabajo</t>
  </si>
  <si>
    <t>b</t>
  </si>
  <si>
    <t xml:space="preserve">Realizar la Sumaria </t>
  </si>
  <si>
    <t>a</t>
  </si>
  <si>
    <t>C</t>
  </si>
  <si>
    <t>A</t>
  </si>
  <si>
    <t>D</t>
  </si>
  <si>
    <t>P1</t>
  </si>
  <si>
    <t>P</t>
  </si>
  <si>
    <t>V</t>
  </si>
  <si>
    <t>I</t>
  </si>
  <si>
    <t>E</t>
  </si>
  <si>
    <t>REVISIÓN</t>
  </si>
  <si>
    <t>PRUEBAS</t>
  </si>
  <si>
    <t>REFERENCIA P. T</t>
  </si>
  <si>
    <t>ASEVERACIÓN</t>
  </si>
  <si>
    <t>PROCEDIMIENTOS</t>
  </si>
  <si>
    <t>Pruebas de Control o Cumplimiento.</t>
  </si>
  <si>
    <r>
      <rPr>
        <b/>
        <sz val="10"/>
        <color rgb="FFFF0000"/>
        <rFont val="Times New Roman"/>
        <family val="1"/>
      </rPr>
      <t xml:space="preserve">C  </t>
    </r>
    <r>
      <rPr>
        <sz val="10"/>
        <color theme="1"/>
        <rFont val="Times New Roman"/>
        <family val="1"/>
      </rPr>
      <t xml:space="preserve"> Clasificación</t>
    </r>
  </si>
  <si>
    <t>. Pruebas Suntantivas Analíticas</t>
  </si>
  <si>
    <r>
      <rPr>
        <b/>
        <sz val="10"/>
        <color rgb="FFFF0000"/>
        <rFont val="Times New Roman"/>
        <family val="1"/>
      </rPr>
      <t>P1</t>
    </r>
    <r>
      <rPr>
        <sz val="10"/>
        <color theme="1"/>
        <rFont val="Times New Roman"/>
        <family val="1"/>
      </rPr>
      <t xml:space="preserve">   Período</t>
    </r>
  </si>
  <si>
    <t>Derechos y obligaciones</t>
  </si>
  <si>
    <t>. Pruebas Suntantivas de Detalle.</t>
  </si>
  <si>
    <t>Final</t>
  </si>
  <si>
    <r>
      <rPr>
        <b/>
        <sz val="10"/>
        <color rgb="FFFF0000"/>
        <rFont val="Times New Roman"/>
        <family val="1"/>
      </rPr>
      <t xml:space="preserve">P   </t>
    </r>
    <r>
      <rPr>
        <sz val="10"/>
        <color theme="1"/>
        <rFont val="Times New Roman"/>
        <family val="1"/>
      </rPr>
      <t xml:space="preserve"> Presentación y divulgación</t>
    </r>
  </si>
  <si>
    <t>Integridad o totalidad</t>
  </si>
  <si>
    <t>Pruebas Suntantivos.</t>
  </si>
  <si>
    <t>Preliminar</t>
  </si>
  <si>
    <t>✓</t>
  </si>
  <si>
    <r>
      <rPr>
        <b/>
        <sz val="10"/>
        <color rgb="FFFF0000"/>
        <rFont val="Times New Roman"/>
        <family val="1"/>
      </rPr>
      <t xml:space="preserve">V  </t>
    </r>
    <r>
      <rPr>
        <sz val="10"/>
        <color theme="1"/>
        <rFont val="Times New Roman"/>
        <family val="1"/>
      </rPr>
      <t xml:space="preserve"> Valuacion</t>
    </r>
  </si>
  <si>
    <t>Existencia u ocurrencia</t>
  </si>
  <si>
    <t>TIPO DE PRUEBA</t>
  </si>
  <si>
    <t>ASEVERACIÓN:</t>
  </si>
  <si>
    <t>REFERENCIAS</t>
  </si>
  <si>
    <t>Comprobar si se realiza el descargo de los Gastos pagados por anticipado. Las adiciones efectuadas durante el periodo representan valores cargados a dichas cuentas y representan su costo real.</t>
  </si>
  <si>
    <t xml:space="preserve">Los pagos anticipados son aquellos valores en los que la Compañía ha incurrido en forma anticipada por aquellos servicios otorgados y de los cuales se espera que sean realizables a través de operaciones futuras. </t>
  </si>
  <si>
    <t>OBJETIVOS:</t>
  </si>
  <si>
    <t>FECHA:</t>
  </si>
  <si>
    <t>Roy Cisneros</t>
  </si>
  <si>
    <t>REVISADO POR:</t>
  </si>
  <si>
    <t>R.C</t>
  </si>
  <si>
    <t>Elizabeth Palacios</t>
  </si>
  <si>
    <t xml:space="preserve">ELABORADO POR: </t>
  </si>
  <si>
    <t>Firma y sello</t>
  </si>
  <si>
    <t>Aprobado</t>
  </si>
  <si>
    <t>(x)</t>
  </si>
  <si>
    <t>GASTOS PAGADOS POR ANTICIPADO</t>
  </si>
  <si>
    <t>ÁREA</t>
  </si>
  <si>
    <t>Preliminar:</t>
  </si>
  <si>
    <t>Desde el 01 de enero al 31 de Diciembre del 2023</t>
  </si>
  <si>
    <t xml:space="preserve">PERIODO:      </t>
  </si>
  <si>
    <t>ABC</t>
  </si>
  <si>
    <t xml:space="preserve">CLIENTE:             </t>
  </si>
  <si>
    <t>REF P.T</t>
  </si>
  <si>
    <t>P-105</t>
  </si>
  <si>
    <t>PROGRAMA DE AUDITORÍA SOBRE LOS ESTADOS FINANCIEROS</t>
  </si>
  <si>
    <t>3 ANG ADMINISTRACIÓN DE NEGOCIOS GERENCIALES CÍA LTDA.</t>
  </si>
  <si>
    <t>3 A.N.G ADMINISTRACIÓN DE NEGOCIOS GERENCIALES CÍA. LTDA.</t>
  </si>
  <si>
    <t>REPORTE DIARIO DE TRABAJO</t>
  </si>
  <si>
    <t>Final:</t>
  </si>
  <si>
    <t>GUIA:</t>
  </si>
  <si>
    <t xml:space="preserve">Integro/Reintegro </t>
  </si>
  <si>
    <t>EMPRESA:</t>
  </si>
  <si>
    <t>XXXXX</t>
  </si>
  <si>
    <t>ELABORADO POR:</t>
  </si>
  <si>
    <t>K.B.</t>
  </si>
  <si>
    <t>E.P.</t>
  </si>
  <si>
    <t>APROBADO POR:</t>
  </si>
  <si>
    <t>R.C.</t>
  </si>
  <si>
    <t>PERIODO :</t>
  </si>
  <si>
    <t>Desde el 01 de Enero 2023 al 31 de Diciembre del 2023</t>
  </si>
  <si>
    <t>ÁREA:</t>
  </si>
  <si>
    <t>(105) Gastos Anticipados</t>
  </si>
  <si>
    <t>MONTO DEL ÁREA:</t>
  </si>
  <si>
    <t>CUENTA:</t>
  </si>
  <si>
    <t>CÓDIGO</t>
  </si>
  <si>
    <t>DESCRIPCIÓN</t>
  </si>
  <si>
    <t>VALOR</t>
  </si>
  <si>
    <t>1.5.23.1</t>
  </si>
  <si>
    <t>Anticipo Proveedores</t>
  </si>
  <si>
    <t>Seguros Anticipados</t>
  </si>
  <si>
    <t>MONTO DE CUENTA:</t>
  </si>
  <si>
    <t>ALCANCE:</t>
  </si>
  <si>
    <t>MATERIALIDAD:</t>
  </si>
  <si>
    <t>RIESGO:</t>
  </si>
  <si>
    <t>ALTO:</t>
  </si>
  <si>
    <t>MEDIO:</t>
  </si>
  <si>
    <t>(X)</t>
  </si>
  <si>
    <t>BAJO:</t>
  </si>
  <si>
    <t>TIPO DE PRUEBA:</t>
  </si>
  <si>
    <t>Análisis, Cumplimiento y Sustantivas</t>
  </si>
  <si>
    <t>Integridad y Exactitud</t>
  </si>
  <si>
    <t>TIEMPO ESTIMADO:</t>
  </si>
  <si>
    <t>HORAS</t>
  </si>
  <si>
    <t>¿¿¿</t>
  </si>
  <si>
    <t>NARRATIVA DE LA PRUEBA</t>
  </si>
  <si>
    <t>los gastos pagados por anticipado representan beneficios o servicios a ser recibidos o utilizados en los próximos ejercicios periodos, por los cuales se ha contraído una obligación o desembolsado fondos.Todas las transacciones o saldos de los gastos diferidos están adecuada e íntegramente contabilizados en los registros correspondientes.</t>
  </si>
  <si>
    <t xml:space="preserve">NIA </t>
  </si>
  <si>
    <t>¿¿</t>
  </si>
  <si>
    <t>NOMBRE NIA</t>
  </si>
  <si>
    <t>Procedimientos analíticos como procedimientos sustantivos</t>
  </si>
  <si>
    <t>????</t>
  </si>
  <si>
    <t>NIA PARRAFO:</t>
  </si>
  <si>
    <t>El término “procedimientos analíticos” significa evaluaciones de información financiera realizadas mediante el análisis de las relaciones plausibles entre datos financieros y no financieros.Los procedimientos analíticos también incluyen, en la medida necesaria, la investigación de las variaciones o de las relaciones identificadas que sean incongruentes con otra información relevante o que difieran de los valores esperados en un importe significativo.</t>
  </si>
  <si>
    <t>PYMES, NIIF NIC:</t>
  </si>
  <si>
    <t>NIIF  PYMES:</t>
  </si>
  <si>
    <t>NIIF FULL:</t>
  </si>
  <si>
    <t>NORMA CONTAB.</t>
  </si>
  <si>
    <t>Sección No. 11 – Instrumentos Financieros Básicos</t>
  </si>
  <si>
    <t>NIIF PYMES</t>
  </si>
  <si>
    <t>¿¿¿¿¿¿</t>
  </si>
  <si>
    <t>DETALLE SECCIÓN:</t>
  </si>
  <si>
    <t>La NIIF para las PYMES no prohíbe el reconocimiento de los anticipos como activos, siempre que el pago se realice antes de recibir los bienes o servicios.
Los gastos pagados por anticipado se reconocen como activos. si una entidad paga por anunciar bienes o servicios por anticipado y el tercero no ha proporcionado todavía esos bienes o servicios, la entidad tiene un activo diferente. Ese activo es el derecho a recibir esos bienes y servicios. Por ello, el Consejo decidió mantener el párrafo 70, que permite a una entidad reconocer como un activo el derecho a recibir esos bienes o servicios</t>
  </si>
  <si>
    <t>NIIF 9 - Instrumentos Financieros</t>
  </si>
  <si>
    <t>NIIF COMPLETAS</t>
  </si>
  <si>
    <t>¿¿¿¿</t>
  </si>
  <si>
    <t>DETALLE NIIF:</t>
  </si>
  <si>
    <t>El objetivo de esta Norma es establecer los principios para la información financiera sobre activos financieros y pasivos financieros, de forma que se presente información útil y relevante para los usuarios de los estados financieros para la evaluación de los importes, calendario e incertidumbre de los flujos de efectivo futuros de la entidad.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</si>
</sst>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quot;$&quot;\ * #,##0.00_);_(&quot;$&quot;\ * \(#,##0.00\);_(&quot;$&quot;\ * &quot;-&quot;??_);_(@_)"/>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2"/>
      <color theme="1"/>
      <name val="Times New Roman"/>
      <family val="1"/>
    </font>
    <font>
      <b/>
      <sz val="12"/>
      <color theme="1"/>
      <name val="Times New Roman"/>
      <family val="1"/>
    </font>
    <font>
      <b/>
      <sz val="12"/>
      <color rgb="FFFF0000"/>
      <name val="Times New Roman"/>
      <family val="1"/>
    </font>
    <font>
      <b/>
      <sz val="11"/>
      <color theme="1"/>
      <name val="Times New Roman"/>
      <family val="1"/>
    </font>
    <font>
      <sz val="10"/>
      <color theme="1"/>
      <name val="Times New Roman"/>
      <family val="1"/>
    </font>
    <font>
      <b/>
      <sz val="10"/>
      <color rgb="FFFF0000"/>
      <name val="Times New Roman"/>
      <family val="1"/>
    </font>
    <font>
      <sz val="10"/>
      <name val="Times New Roman"/>
      <family val="1"/>
    </font>
    <font>
      <b/>
      <u/>
      <sz val="10"/>
      <name val="Times New Roman"/>
      <family val="1"/>
    </font>
    <font>
      <sz val="10"/>
      <name val="Arial"/>
      <family val="2"/>
    </font>
    <font>
      <b/>
      <sz val="10"/>
      <color theme="1"/>
      <name val="Times New Roman"/>
      <family val="1"/>
    </font>
    <font>
      <sz val="12"/>
      <name val="Times New Roman"/>
      <family val="1"/>
    </font>
    <font>
      <sz val="11"/>
      <color rgb="FFFF0000"/>
      <name val="Arial"/>
      <family val="2"/>
    </font>
    <font>
      <b/>
      <u/>
      <sz val="10"/>
      <color rgb="FFFF0000"/>
      <name val="Times New Roman"/>
      <family val="1"/>
    </font>
    <font>
      <sz val="11"/>
      <color theme="1"/>
      <name val="Times New Roman"/>
      <family val="1"/>
    </font>
    <font>
      <b/>
      <sz val="12"/>
      <name val="Times New Roman"/>
      <family val="1"/>
    </font>
    <font>
      <i/>
      <sz val="10"/>
      <color theme="1"/>
      <name val="Calibri Light"/>
      <family val="2"/>
      <scheme val="major"/>
    </font>
    <font>
      <b/>
      <sz val="30"/>
      <color rgb="FFFF0000"/>
      <name val="Arial Black"/>
      <family val="2"/>
    </font>
    <font>
      <b/>
      <sz val="14"/>
      <color rgb="FF002060"/>
      <name val="Calibri Light"/>
      <family val="2"/>
      <scheme val="major"/>
    </font>
    <font>
      <b/>
      <sz val="16"/>
      <color rgb="FF002060"/>
      <name val="Calibri Light"/>
      <family val="2"/>
      <scheme val="major"/>
    </font>
    <font>
      <b/>
      <sz val="15"/>
      <name val="Times New Roman"/>
      <family val="1"/>
    </font>
    <font>
      <b/>
      <sz val="16"/>
      <color rgb="FFFF0000"/>
      <name val="Times New Roman"/>
      <family val="1"/>
    </font>
    <font>
      <sz val="12"/>
      <color indexed="62"/>
      <name val="Times New Roman"/>
      <family val="1"/>
    </font>
    <font>
      <b/>
      <u/>
      <sz val="12"/>
      <name val="Times New Roman"/>
      <family val="1"/>
    </font>
    <font>
      <sz val="12"/>
      <color rgb="FFFF0000"/>
      <name val="Times New Roman"/>
      <family val="1"/>
    </font>
  </fonts>
  <fills count="3">
    <fill>
      <patternFill patternType="none"/>
    </fill>
    <fill>
      <patternFill patternType="gray125"/>
    </fill>
    <fill>
      <patternFill patternType="solid">
        <fgColor rgb="FF00FF00"/>
        <bgColor indexed="64"/>
      </patternFill>
    </fill>
  </fills>
  <borders count="46">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6">
    <xf numFmtId="0" fontId="0" fillId="0" borderId="0"/>
    <xf numFmtId="9" fontId="1" fillId="0" borderId="0" applyFont="0" applyFill="0" applyBorder="0" applyAlignment="0" applyProtection="0"/>
    <xf numFmtId="0" fontId="12" fillId="0" borderId="0"/>
    <xf numFmtId="0" fontId="12" fillId="0" borderId="0"/>
    <xf numFmtId="164" fontId="1" fillId="0" borderId="0" applyFont="0" applyFill="0" applyBorder="0" applyAlignment="0" applyProtection="0"/>
    <xf numFmtId="165" fontId="1" fillId="0" borderId="0" applyFont="0" applyFill="0" applyBorder="0" applyAlignment="0" applyProtection="0"/>
  </cellStyleXfs>
  <cellXfs count="181">
    <xf numFmtId="0" fontId="0" fillId="0" borderId="0" xfId="0"/>
    <xf numFmtId="0" fontId="3" fillId="0" borderId="0" xfId="0" applyFont="1" applyAlignment="1">
      <alignment textRotation="255"/>
    </xf>
    <xf numFmtId="0" fontId="4" fillId="0" borderId="0" xfId="0" applyFont="1"/>
    <xf numFmtId="0" fontId="4" fillId="0" borderId="0" xfId="0" applyFont="1" applyAlignment="1">
      <alignment textRotation="255"/>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5" fillId="0" borderId="0" xfId="0" applyFont="1" applyAlignment="1">
      <alignment horizontal="justify" vertical="justify"/>
    </xf>
    <xf numFmtId="0" fontId="4" fillId="0" borderId="4" xfId="0" applyFont="1" applyBorder="1"/>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4" fillId="0" borderId="7" xfId="0" applyFont="1" applyBorder="1" applyAlignment="1">
      <alignment horizontal="justify" vertical="justify"/>
    </xf>
    <xf numFmtId="0" fontId="4" fillId="0" borderId="8" xfId="0" applyFont="1" applyBorder="1" applyAlignment="1">
      <alignment horizontal="justify" vertical="justify"/>
    </xf>
    <xf numFmtId="0" fontId="4" fillId="0" borderId="9" xfId="0" applyFont="1" applyBorder="1"/>
    <xf numFmtId="0" fontId="4" fillId="0" borderId="10"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6" fillId="0" borderId="13" xfId="0" applyFont="1" applyBorder="1" applyAlignment="1">
      <alignment horizontal="center"/>
    </xf>
    <xf numFmtId="0" fontId="4" fillId="0" borderId="9" xfId="0" applyFont="1" applyBorder="1" applyAlignment="1">
      <alignment horizontal="justify" vertical="justify"/>
    </xf>
    <xf numFmtId="0" fontId="4" fillId="0" borderId="14" xfId="0" applyFont="1" applyBorder="1" applyAlignment="1">
      <alignment horizontal="justify" vertical="justify"/>
    </xf>
    <xf numFmtId="0" fontId="5" fillId="0" borderId="9" xfId="0" applyFont="1" applyBorder="1" applyAlignment="1">
      <alignment horizontal="justify" vertical="justify"/>
    </xf>
    <xf numFmtId="0" fontId="5" fillId="0" borderId="14" xfId="0" applyFont="1" applyBorder="1" applyAlignment="1">
      <alignment horizontal="justify" vertical="justify"/>
    </xf>
    <xf numFmtId="0" fontId="4" fillId="0" borderId="13" xfId="0" applyFont="1" applyBorder="1" applyAlignment="1">
      <alignment horizontal="center"/>
    </xf>
    <xf numFmtId="0" fontId="6" fillId="0" borderId="9" xfId="0" applyFont="1" applyBorder="1"/>
    <xf numFmtId="0" fontId="6" fillId="0" borderId="12" xfId="0" applyFont="1" applyBorder="1" applyAlignment="1">
      <alignment horizontal="center"/>
    </xf>
    <xf numFmtId="0" fontId="4" fillId="0" borderId="12" xfId="0" applyFont="1" applyBorder="1" applyAlignment="1">
      <alignment horizontal="justify" vertical="justify"/>
    </xf>
    <xf numFmtId="0" fontId="4" fillId="0" borderId="13" xfId="0" applyFont="1" applyBorder="1" applyAlignment="1">
      <alignment horizontal="justify" vertical="justify"/>
    </xf>
    <xf numFmtId="0" fontId="5"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5" fillId="0" borderId="18" xfId="0" applyFont="1" applyBorder="1" applyAlignment="1">
      <alignment horizontal="center" vertical="center" wrapText="1"/>
    </xf>
    <xf numFmtId="0" fontId="6" fillId="0" borderId="19" xfId="0" applyFont="1" applyBorder="1" applyAlignment="1">
      <alignment horizontal="center" vertical="center"/>
    </xf>
    <xf numFmtId="0" fontId="5" fillId="0" borderId="20" xfId="0" applyFont="1" applyBorder="1" applyAlignment="1">
      <alignment horizontal="left" vertical="justify"/>
    </xf>
    <xf numFmtId="0" fontId="5" fillId="0" borderId="21" xfId="0" applyFont="1" applyBorder="1" applyAlignment="1">
      <alignment horizontal="left" vertical="justify"/>
    </xf>
    <xf numFmtId="0" fontId="5" fillId="0" borderId="4" xfId="0" applyFont="1" applyBorder="1" applyAlignment="1">
      <alignment horizontal="center" vertical="center"/>
    </xf>
    <xf numFmtId="0" fontId="6" fillId="0" borderId="5" xfId="0" applyFont="1" applyBorder="1" applyAlignment="1">
      <alignment vertical="center"/>
    </xf>
    <xf numFmtId="0" fontId="6" fillId="0" borderId="6" xfId="0" applyFont="1" applyBorder="1" applyAlignment="1">
      <alignment vertical="center"/>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20"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8" fillId="0" borderId="0" xfId="0" applyFont="1"/>
    <xf numFmtId="0" fontId="9" fillId="0" borderId="0" xfId="0" applyFont="1" applyAlignment="1">
      <alignment horizontal="right"/>
    </xf>
    <xf numFmtId="0" fontId="8" fillId="0" borderId="0" xfId="0" applyFont="1" applyAlignment="1">
      <alignment textRotation="255"/>
    </xf>
    <xf numFmtId="0" fontId="10" fillId="0" borderId="0" xfId="0" applyFont="1"/>
    <xf numFmtId="0" fontId="11" fillId="0" borderId="0" xfId="0" applyFont="1"/>
    <xf numFmtId="49" fontId="9" fillId="0" borderId="0" xfId="2" applyNumberFormat="1" applyFont="1" applyAlignment="1">
      <alignment horizontal="right" vertical="top" wrapText="1"/>
    </xf>
    <xf numFmtId="0" fontId="9" fillId="0" borderId="0" xfId="2" applyFont="1" applyAlignment="1">
      <alignment horizontal="right" vertical="top" wrapText="1"/>
    </xf>
    <xf numFmtId="0" fontId="13" fillId="0" borderId="0" xfId="0" applyFont="1"/>
    <xf numFmtId="0" fontId="14" fillId="0" borderId="0" xfId="0" applyFont="1" applyAlignment="1">
      <alignment textRotation="255" wrapText="1"/>
    </xf>
    <xf numFmtId="0" fontId="15" fillId="0" borderId="0" xfId="0" applyFont="1"/>
    <xf numFmtId="0" fontId="9" fillId="0" borderId="0" xfId="0" applyFont="1"/>
    <xf numFmtId="0" fontId="16" fillId="0" borderId="0" xfId="0" applyFont="1" applyAlignment="1">
      <alignment horizontal="center"/>
    </xf>
    <xf numFmtId="0" fontId="17" fillId="0" borderId="0" xfId="0" applyFont="1" applyAlignment="1">
      <alignment horizontal="justify" vertical="justify"/>
    </xf>
    <xf numFmtId="0" fontId="7" fillId="0" borderId="0" xfId="0" applyFont="1" applyAlignment="1">
      <alignment horizontal="justify" vertical="justify"/>
    </xf>
    <xf numFmtId="0" fontId="18" fillId="0" borderId="0" xfId="3" applyFont="1" applyAlignment="1">
      <alignment horizontal="left" vertical="center"/>
    </xf>
    <xf numFmtId="0" fontId="17" fillId="0" borderId="0" xfId="0" applyFont="1" applyAlignment="1">
      <alignment horizontal="justify" vertical="justify"/>
    </xf>
    <xf numFmtId="0" fontId="18" fillId="0" borderId="0" xfId="3" applyFont="1" applyAlignment="1">
      <alignment horizontal="left" vertical="center"/>
    </xf>
    <xf numFmtId="0" fontId="4" fillId="0" borderId="26" xfId="0" applyFont="1" applyBorder="1"/>
    <xf numFmtId="0" fontId="17" fillId="0" borderId="27" xfId="0" applyFont="1" applyBorder="1" applyAlignment="1">
      <alignment horizontal="center"/>
    </xf>
    <xf numFmtId="14" fontId="17" fillId="0" borderId="28" xfId="0" applyNumberFormat="1" applyFont="1" applyBorder="1" applyAlignment="1">
      <alignment horizontal="center"/>
    </xf>
    <xf numFmtId="14" fontId="17" fillId="0" borderId="0" xfId="0" applyNumberFormat="1" applyFont="1" applyAlignment="1">
      <alignment horizontal="center"/>
    </xf>
    <xf numFmtId="0" fontId="17" fillId="0" borderId="0" xfId="0" applyFont="1" applyAlignment="1">
      <alignment horizontal="center"/>
    </xf>
    <xf numFmtId="0" fontId="5" fillId="0" borderId="0" xfId="0" applyFont="1"/>
    <xf numFmtId="0" fontId="18" fillId="0" borderId="0" xfId="3" applyFont="1"/>
    <xf numFmtId="0" fontId="6" fillId="0" borderId="29" xfId="0" applyFont="1" applyBorder="1" applyAlignment="1">
      <alignment horizontal="center"/>
    </xf>
    <xf numFmtId="14" fontId="17" fillId="0" borderId="30" xfId="0" applyNumberFormat="1" applyFont="1" applyBorder="1" applyAlignment="1">
      <alignment horizontal="center"/>
    </xf>
    <xf numFmtId="0" fontId="19" fillId="0" borderId="31" xfId="0" applyFont="1" applyBorder="1" applyAlignment="1">
      <alignment horizontal="right"/>
    </xf>
    <xf numFmtId="0" fontId="5" fillId="0" borderId="32" xfId="0" applyFont="1" applyBorder="1" applyAlignment="1">
      <alignment horizontal="center"/>
    </xf>
    <xf numFmtId="0" fontId="5" fillId="0" borderId="33" xfId="0" applyFont="1" applyBorder="1" applyAlignment="1">
      <alignment horizontal="center"/>
    </xf>
    <xf numFmtId="0" fontId="6"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xf>
    <xf numFmtId="0" fontId="5" fillId="0" borderId="0" xfId="0" applyFont="1" applyAlignment="1">
      <alignment horizontal="center"/>
    </xf>
    <xf numFmtId="0" fontId="20" fillId="0" borderId="16" xfId="0" applyFont="1" applyBorder="1" applyAlignment="1">
      <alignment horizontal="center" vertical="center"/>
    </xf>
    <xf numFmtId="0" fontId="2" fillId="0" borderId="0" xfId="0" applyFont="1" applyAlignment="1">
      <alignment horizontal="right"/>
    </xf>
    <xf numFmtId="0" fontId="20" fillId="0" borderId="34" xfId="0" applyFont="1" applyBorder="1" applyAlignment="1">
      <alignment horizontal="center" vertical="center"/>
    </xf>
    <xf numFmtId="0" fontId="21" fillId="0" borderId="0" xfId="0" applyFont="1" applyAlignment="1">
      <alignment horizontal="center"/>
    </xf>
    <xf numFmtId="0" fontId="20" fillId="0" borderId="35" xfId="0" applyFont="1" applyBorder="1" applyAlignment="1">
      <alignment horizontal="center" vertical="center"/>
    </xf>
    <xf numFmtId="0" fontId="22" fillId="0" borderId="0" xfId="0" applyFont="1" applyAlignment="1">
      <alignment horizontal="center"/>
    </xf>
    <xf numFmtId="0" fontId="14" fillId="0" borderId="0" xfId="3" applyFont="1" applyAlignment="1">
      <alignment vertical="top" textRotation="255" wrapText="1"/>
    </xf>
    <xf numFmtId="0" fontId="14" fillId="0" borderId="33" xfId="3" applyFont="1" applyBorder="1" applyAlignment="1">
      <alignment horizontal="left" vertical="center"/>
    </xf>
    <xf numFmtId="0" fontId="23" fillId="0" borderId="32" xfId="0" applyFont="1" applyBorder="1" applyAlignment="1">
      <alignment horizontal="center" wrapText="1"/>
    </xf>
    <xf numFmtId="0" fontId="24" fillId="0" borderId="36" xfId="0" applyFont="1" applyBorder="1" applyAlignment="1">
      <alignment horizontal="center" vertical="center" wrapText="1"/>
    </xf>
    <xf numFmtId="0" fontId="25" fillId="0" borderId="0" xfId="0" applyFont="1" applyAlignment="1">
      <alignment horizontal="center" wrapText="1"/>
    </xf>
    <xf numFmtId="0" fontId="25" fillId="0" borderId="0" xfId="0" applyFont="1" applyAlignment="1">
      <alignment wrapText="1"/>
    </xf>
    <xf numFmtId="0" fontId="14" fillId="0" borderId="0" xfId="3" applyFont="1" applyAlignment="1">
      <alignment wrapText="1"/>
    </xf>
    <xf numFmtId="0" fontId="14" fillId="0" borderId="28" xfId="3" applyFont="1" applyBorder="1" applyAlignment="1">
      <alignment horizontal="left" vertical="center"/>
    </xf>
    <xf numFmtId="0" fontId="18" fillId="0" borderId="27" xfId="0" applyFont="1" applyBorder="1" applyAlignment="1">
      <alignment horizontal="center" wrapText="1"/>
    </xf>
    <xf numFmtId="0" fontId="24" fillId="0" borderId="37" xfId="0" applyFont="1" applyBorder="1" applyAlignment="1">
      <alignment horizontal="center" vertical="center" wrapText="1"/>
    </xf>
    <xf numFmtId="0" fontId="18" fillId="0" borderId="0" xfId="0" applyFont="1" applyAlignment="1">
      <alignment horizontal="center" wrapText="1"/>
    </xf>
    <xf numFmtId="0" fontId="6" fillId="0" borderId="0" xfId="3" applyFont="1" applyAlignment="1">
      <alignment horizontal="center" wrapText="1"/>
    </xf>
    <xf numFmtId="0" fontId="18" fillId="0" borderId="0" xfId="3" applyFont="1" applyAlignment="1">
      <alignment wrapText="1"/>
    </xf>
    <xf numFmtId="0" fontId="4" fillId="0" borderId="0" xfId="0" applyFont="1" applyAlignment="1">
      <alignment vertical="top" textRotation="255"/>
    </xf>
    <xf numFmtId="0" fontId="26" fillId="0" borderId="38" xfId="3" applyFont="1" applyBorder="1" applyAlignment="1">
      <alignment horizontal="left" vertical="center"/>
    </xf>
    <xf numFmtId="0" fontId="18" fillId="0" borderId="25" xfId="3" applyFont="1" applyBorder="1" applyAlignment="1">
      <alignment horizontal="left" vertical="center"/>
    </xf>
    <xf numFmtId="14" fontId="18" fillId="0" borderId="22" xfId="3" applyNumberFormat="1" applyFont="1" applyBorder="1" applyAlignment="1">
      <alignment horizontal="justify" vertical="justify"/>
    </xf>
    <xf numFmtId="14" fontId="18" fillId="0" borderId="24" xfId="3" applyNumberFormat="1" applyFont="1" applyBorder="1" applyAlignment="1">
      <alignment horizontal="justify" vertical="justify"/>
    </xf>
    <xf numFmtId="14" fontId="14" fillId="0" borderId="0" xfId="0" applyNumberFormat="1" applyFont="1" applyAlignment="1">
      <alignment horizontal="left" vertical="center" wrapText="1"/>
    </xf>
    <xf numFmtId="0" fontId="26" fillId="0" borderId="14" xfId="3" applyFont="1" applyBorder="1" applyAlignment="1">
      <alignment horizontal="left" vertical="center"/>
    </xf>
    <xf numFmtId="0" fontId="18" fillId="0" borderId="13" xfId="3" applyFont="1" applyBorder="1" applyAlignment="1">
      <alignment horizontal="left" vertical="center"/>
    </xf>
    <xf numFmtId="14" fontId="18" fillId="0" borderId="10" xfId="3" applyNumberFormat="1" applyFont="1" applyBorder="1" applyAlignment="1">
      <alignment horizontal="justify" vertical="justify"/>
    </xf>
    <xf numFmtId="14" fontId="18" fillId="0" borderId="12" xfId="3" applyNumberFormat="1" applyFont="1" applyBorder="1" applyAlignment="1">
      <alignment horizontal="justify" vertical="justify"/>
    </xf>
    <xf numFmtId="0" fontId="18" fillId="0" borderId="14" xfId="3" applyFont="1" applyBorder="1" applyAlignment="1">
      <alignment horizontal="left" vertical="center"/>
    </xf>
    <xf numFmtId="0" fontId="14" fillId="0" borderId="13" xfId="0" applyFont="1" applyBorder="1" applyAlignment="1">
      <alignment horizontal="justify" vertical="justify"/>
    </xf>
    <xf numFmtId="0" fontId="14" fillId="0" borderId="10" xfId="0" applyFont="1" applyBorder="1" applyAlignment="1">
      <alignment horizontal="justify" vertical="justify"/>
    </xf>
    <xf numFmtId="0" fontId="14" fillId="0" borderId="12" xfId="0" applyFont="1" applyBorder="1" applyAlignment="1">
      <alignment horizontal="justify" vertical="justify"/>
    </xf>
    <xf numFmtId="0" fontId="14" fillId="0" borderId="0" xfId="0" applyFont="1" applyAlignment="1">
      <alignment horizontal="left" vertical="center" wrapText="1"/>
    </xf>
    <xf numFmtId="0" fontId="18" fillId="0" borderId="0" xfId="0" applyFont="1" applyAlignment="1">
      <alignment horizontal="left" vertical="center" wrapText="1"/>
    </xf>
    <xf numFmtId="0" fontId="26" fillId="0" borderId="30" xfId="3" applyFont="1" applyBorder="1" applyAlignment="1">
      <alignment horizontal="left" vertical="center"/>
    </xf>
    <xf numFmtId="164" fontId="18" fillId="0" borderId="28" xfId="4" applyFont="1" applyFill="1" applyBorder="1" applyAlignment="1">
      <alignment horizontal="center" vertical="center"/>
    </xf>
    <xf numFmtId="164" fontId="18" fillId="0" borderId="27" xfId="4" applyFont="1" applyFill="1" applyBorder="1" applyAlignment="1">
      <alignment horizontal="center" vertical="center"/>
    </xf>
    <xf numFmtId="164" fontId="18" fillId="0" borderId="26" xfId="4" applyFont="1" applyFill="1" applyBorder="1" applyAlignment="1">
      <alignment horizontal="center" vertical="center"/>
    </xf>
    <xf numFmtId="164" fontId="14" fillId="0" borderId="0" xfId="4" applyFont="1" applyBorder="1" applyAlignment="1">
      <alignment horizontal="left" vertical="center" wrapText="1"/>
    </xf>
    <xf numFmtId="0" fontId="18" fillId="0" borderId="30" xfId="0" applyFont="1" applyBorder="1" applyAlignment="1">
      <alignment horizontal="center" vertical="center"/>
    </xf>
    <xf numFmtId="0" fontId="18" fillId="0" borderId="3" xfId="3" applyFont="1" applyBorder="1" applyAlignment="1">
      <alignment vertical="center"/>
    </xf>
    <xf numFmtId="164" fontId="18" fillId="0" borderId="39" xfId="4" applyFont="1" applyFill="1" applyBorder="1" applyAlignment="1">
      <alignment vertical="center"/>
    </xf>
    <xf numFmtId="164" fontId="18" fillId="0" borderId="1" xfId="4" applyFont="1" applyBorder="1" applyAlignment="1">
      <alignment horizontal="left" vertical="center" wrapText="1"/>
    </xf>
    <xf numFmtId="0" fontId="18" fillId="0" borderId="30" xfId="0" applyFont="1" applyBorder="1" applyAlignment="1">
      <alignment vertical="center"/>
    </xf>
    <xf numFmtId="0" fontId="18" fillId="0" borderId="40" xfId="0" applyFont="1" applyBorder="1" applyAlignment="1">
      <alignment vertical="center"/>
    </xf>
    <xf numFmtId="165" fontId="4" fillId="0" borderId="29" xfId="5" applyFont="1" applyBorder="1" applyAlignment="1">
      <alignment horizontal="left"/>
    </xf>
    <xf numFmtId="0" fontId="4" fillId="0" borderId="0" xfId="0" applyFont="1" applyAlignment="1">
      <alignment horizontal="left"/>
    </xf>
    <xf numFmtId="0" fontId="4" fillId="0" borderId="29" xfId="0" applyFont="1" applyBorder="1" applyAlignment="1">
      <alignment horizontal="left"/>
    </xf>
    <xf numFmtId="165" fontId="14" fillId="0" borderId="13" xfId="0" applyNumberFormat="1" applyFont="1" applyBorder="1" applyAlignment="1">
      <alignment horizontal="justify" vertical="justify"/>
    </xf>
    <xf numFmtId="9" fontId="14" fillId="0" borderId="13" xfId="1" applyFont="1" applyFill="1" applyBorder="1" applyAlignment="1">
      <alignment horizontal="justify" vertical="justify"/>
    </xf>
    <xf numFmtId="9" fontId="14" fillId="0" borderId="10" xfId="1" applyFont="1" applyFill="1" applyBorder="1" applyAlignment="1">
      <alignment horizontal="justify" vertical="justify"/>
    </xf>
    <xf numFmtId="9" fontId="14" fillId="0" borderId="12" xfId="1" applyFont="1" applyFill="1" applyBorder="1" applyAlignment="1">
      <alignment horizontal="justify" vertical="justify"/>
    </xf>
    <xf numFmtId="9" fontId="14" fillId="0" borderId="0" xfId="0" applyNumberFormat="1" applyFont="1" applyAlignment="1">
      <alignment horizontal="left" vertical="center" wrapText="1"/>
    </xf>
    <xf numFmtId="0" fontId="18" fillId="0" borderId="13" xfId="3" applyFont="1" applyBorder="1" applyAlignment="1">
      <alignment vertical="center"/>
    </xf>
    <xf numFmtId="0" fontId="14" fillId="0" borderId="10" xfId="0" applyFont="1" applyBorder="1" applyAlignment="1">
      <alignment horizontal="left" vertical="center" wrapText="1"/>
    </xf>
    <xf numFmtId="0" fontId="14" fillId="0" borderId="12" xfId="0" applyFont="1" applyBorder="1" applyAlignment="1">
      <alignment horizontal="left" vertical="center" wrapText="1"/>
    </xf>
    <xf numFmtId="0" fontId="6" fillId="0" borderId="10" xfId="0" applyFont="1" applyBorder="1" applyAlignment="1">
      <alignment horizontal="left" vertical="center" wrapText="1"/>
    </xf>
    <xf numFmtId="0" fontId="14" fillId="0" borderId="13" xfId="0" applyFont="1" applyBorder="1" applyAlignment="1">
      <alignment horizontal="justify" vertical="justify" wrapText="1"/>
    </xf>
    <xf numFmtId="0" fontId="14" fillId="0" borderId="10" xfId="0" applyFont="1" applyBorder="1" applyAlignment="1">
      <alignment horizontal="justify" vertical="justify" wrapText="1"/>
    </xf>
    <xf numFmtId="0" fontId="14" fillId="0" borderId="12" xfId="0" applyFont="1" applyBorder="1" applyAlignment="1">
      <alignment horizontal="justify" vertical="justify" wrapText="1"/>
    </xf>
    <xf numFmtId="0" fontId="18" fillId="0" borderId="41" xfId="3" applyFont="1" applyBorder="1" applyAlignment="1">
      <alignment horizontal="left" vertical="center"/>
    </xf>
    <xf numFmtId="0" fontId="14" fillId="0" borderId="13" xfId="0" applyFont="1" applyBorder="1" applyAlignment="1">
      <alignment horizontal="left" vertical="center" wrapText="1"/>
    </xf>
    <xf numFmtId="0" fontId="14" fillId="0" borderId="10" xfId="0" applyFont="1" applyBorder="1" applyAlignment="1">
      <alignment horizontal="left" vertical="center" wrapText="1"/>
    </xf>
    <xf numFmtId="0" fontId="18" fillId="0" borderId="42" xfId="3" applyFont="1" applyBorder="1" applyAlignment="1">
      <alignment horizontal="left" vertical="center" wrapText="1"/>
    </xf>
    <xf numFmtId="0" fontId="14" fillId="0" borderId="17" xfId="0" applyFont="1" applyBorder="1" applyAlignment="1">
      <alignment horizontal="justify" vertical="justify" wrapText="1"/>
    </xf>
    <xf numFmtId="0" fontId="14" fillId="0" borderId="16" xfId="0" applyFont="1" applyBorder="1" applyAlignment="1">
      <alignment horizontal="justify" vertical="justify" wrapText="1"/>
    </xf>
    <xf numFmtId="0" fontId="14" fillId="0" borderId="18" xfId="0" applyFont="1" applyBorder="1" applyAlignment="1">
      <alignment horizontal="justify" vertical="justify" wrapText="1"/>
    </xf>
    <xf numFmtId="0" fontId="18" fillId="0" borderId="43" xfId="0" applyFont="1" applyBorder="1" applyAlignment="1">
      <alignment horizontal="left" vertical="center"/>
    </xf>
    <xf numFmtId="0" fontId="14" fillId="0" borderId="11" xfId="0" applyFont="1" applyBorder="1" applyAlignment="1">
      <alignment horizontal="justify" vertical="justify" wrapText="1"/>
    </xf>
    <xf numFmtId="0" fontId="18" fillId="0" borderId="0" xfId="0" applyFont="1" applyAlignment="1">
      <alignment horizontal="center" vertical="center" wrapText="1"/>
    </xf>
    <xf numFmtId="0" fontId="14" fillId="0" borderId="0" xfId="0" applyFont="1" applyAlignment="1">
      <alignment vertical="top" wrapText="1"/>
    </xf>
    <xf numFmtId="0" fontId="18" fillId="0" borderId="43" xfId="0" applyFont="1" applyBorder="1" applyAlignment="1">
      <alignment horizontal="center" vertical="center"/>
    </xf>
    <xf numFmtId="0" fontId="18" fillId="0" borderId="11" xfId="0" applyFont="1" applyBorder="1" applyAlignment="1">
      <alignment vertical="center"/>
    </xf>
    <xf numFmtId="0" fontId="4" fillId="0" borderId="10" xfId="0" applyFont="1" applyBorder="1"/>
    <xf numFmtId="0" fontId="14" fillId="0" borderId="12" xfId="0" applyFont="1" applyBorder="1" applyAlignment="1">
      <alignment vertical="center"/>
    </xf>
    <xf numFmtId="0" fontId="14" fillId="0" borderId="0" xfId="0" applyFont="1" applyAlignment="1">
      <alignment vertical="center"/>
    </xf>
    <xf numFmtId="0" fontId="18" fillId="0" borderId="44" xfId="0" applyFont="1" applyBorder="1" applyAlignment="1">
      <alignment horizontal="center" vertical="center"/>
    </xf>
    <xf numFmtId="0" fontId="6" fillId="0" borderId="10" xfId="0" applyFont="1" applyBorder="1" applyAlignment="1">
      <alignment vertical="center"/>
    </xf>
    <xf numFmtId="0" fontId="18" fillId="0" borderId="38" xfId="0" applyFont="1" applyBorder="1" applyAlignment="1">
      <alignment horizontal="left" vertical="center"/>
    </xf>
    <xf numFmtId="0" fontId="18" fillId="0" borderId="13" xfId="0" applyFont="1" applyBorder="1" applyAlignment="1">
      <alignment horizontal="left" vertical="center"/>
    </xf>
    <xf numFmtId="0" fontId="18" fillId="0" borderId="10" xfId="0" applyFont="1" applyBorder="1" applyAlignment="1">
      <alignment horizontal="left" vertical="center"/>
    </xf>
    <xf numFmtId="0" fontId="27" fillId="0" borderId="12" xfId="0" applyFont="1" applyBorder="1" applyAlignment="1">
      <alignment horizontal="center" vertical="center" textRotation="90" wrapText="1"/>
    </xf>
    <xf numFmtId="0" fontId="18" fillId="0" borderId="0" xfId="0" applyFont="1" applyAlignment="1">
      <alignment vertical="center"/>
    </xf>
    <xf numFmtId="0" fontId="18" fillId="0" borderId="14" xfId="0" applyFont="1" applyBorder="1" applyAlignment="1">
      <alignment horizontal="left" vertical="center"/>
    </xf>
    <xf numFmtId="0" fontId="14" fillId="0" borderId="13" xfId="0" applyFont="1" applyBorder="1" applyAlignment="1">
      <alignment horizontal="justify" vertical="top" wrapText="1"/>
    </xf>
    <xf numFmtId="0" fontId="14" fillId="0" borderId="10" xfId="0" applyFont="1" applyBorder="1" applyAlignment="1">
      <alignment horizontal="justify" vertical="top" wrapText="1"/>
    </xf>
    <xf numFmtId="0" fontId="14" fillId="0" borderId="0" xfId="0" applyFont="1" applyAlignment="1">
      <alignment horizontal="left" vertical="top" wrapText="1"/>
    </xf>
    <xf numFmtId="0" fontId="18" fillId="2" borderId="14" xfId="0" applyFont="1" applyFill="1" applyBorder="1" applyAlignment="1">
      <alignment horizontal="left" vertical="center"/>
    </xf>
    <xf numFmtId="0" fontId="18" fillId="0" borderId="19" xfId="0" applyFont="1" applyBorder="1" applyAlignment="1">
      <alignment horizontal="left" vertical="center"/>
    </xf>
    <xf numFmtId="0" fontId="18" fillId="0" borderId="16" xfId="0" applyFont="1" applyBorder="1" applyAlignment="1">
      <alignment horizontal="left" vertical="center"/>
    </xf>
    <xf numFmtId="0" fontId="27" fillId="0" borderId="29" xfId="0" applyFont="1" applyBorder="1" applyAlignment="1">
      <alignment horizontal="center" vertical="center" textRotation="90" wrapText="1"/>
    </xf>
    <xf numFmtId="0" fontId="18" fillId="2" borderId="45" xfId="0" applyFont="1" applyFill="1" applyBorder="1" applyAlignment="1">
      <alignment horizontal="left" vertical="center"/>
    </xf>
    <xf numFmtId="0" fontId="14" fillId="0" borderId="8" xfId="0" applyFont="1" applyBorder="1" applyAlignment="1">
      <alignment horizontal="justify" vertical="top" wrapText="1"/>
    </xf>
    <xf numFmtId="0" fontId="14" fillId="0" borderId="5" xfId="0" applyFont="1" applyBorder="1" applyAlignment="1">
      <alignment horizontal="justify" vertical="top" wrapText="1"/>
    </xf>
    <xf numFmtId="0" fontId="27" fillId="0" borderId="26" xfId="0" applyFont="1" applyBorder="1" applyAlignment="1">
      <alignment horizontal="center" vertical="center" textRotation="90" wrapText="1"/>
    </xf>
    <xf numFmtId="0" fontId="14" fillId="0" borderId="0" xfId="0" applyFont="1" applyAlignment="1">
      <alignment horizontal="left" vertical="center"/>
    </xf>
    <xf numFmtId="0" fontId="14" fillId="0" borderId="0" xfId="0" applyFont="1"/>
  </cellXfs>
  <cellStyles count="6">
    <cellStyle name="Millares 2" xfId="4" xr:uid="{D4DC9878-3228-40DC-8D52-9FA1CD95F25E}"/>
    <cellStyle name="Moneda 2" xfId="5" xr:uid="{B3D698CD-6C2F-4F6E-B660-13DF74351C86}"/>
    <cellStyle name="Normal" xfId="0" builtinId="0"/>
    <cellStyle name="Normal 2" xfId="3" xr:uid="{3CD69503-352E-4D2A-ACFA-3692AA51C25C}"/>
    <cellStyle name="Normal 47" xfId="2" xr:uid="{E21D7C26-6581-46FC-AE6F-033ACEB85FFD}"/>
    <cellStyle name="Porcentaje"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180975</xdr:colOff>
      <xdr:row>0</xdr:row>
      <xdr:rowOff>0</xdr:rowOff>
    </xdr:from>
    <xdr:to>
      <xdr:col>1</xdr:col>
      <xdr:colOff>1885951</xdr:colOff>
      <xdr:row>1</xdr:row>
      <xdr:rowOff>295275</xdr:rowOff>
    </xdr:to>
    <xdr:pic>
      <xdr:nvPicPr>
        <xdr:cNvPr id="2" name="Imagen 2" descr="C:\Users\Usuario\Desktop\A AUDITORIAS\A AUDITORIAS\2018\LOGOS\Logo 1\3ANG_LOGO.png">
          <a:extLst>
            <a:ext uri="{FF2B5EF4-FFF2-40B4-BE49-F238E27FC236}">
              <a16:creationId xmlns:a16="http://schemas.microsoft.com/office/drawing/2014/main" id="{E8808E9C-22E9-487F-A360-E7058AEA55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0"/>
          <a:ext cx="1704976" cy="6858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71DC519A-B934-47E4-874F-69E50395308C}"/>
            </a:ext>
          </a:extLst>
        </xdr:cNvPr>
        <xdr:cNvSpPr/>
      </xdr:nvSpPr>
      <xdr:spPr>
        <a:xfrm>
          <a:off x="10839450" y="0"/>
          <a:ext cx="800100" cy="6191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19051</xdr:colOff>
      <xdr:row>0</xdr:row>
      <xdr:rowOff>19050</xdr:rowOff>
    </xdr:from>
    <xdr:ext cx="1228724" cy="628650"/>
    <xdr:pic>
      <xdr:nvPicPr>
        <xdr:cNvPr id="2" name="Imagen 1" descr="C:\Users\Usuario\Desktop\A AUDITORIAS\A AUDITORIAS\2018\LOGOS\Logo 1\3ANG_LOGO.png">
          <a:extLst>
            <a:ext uri="{FF2B5EF4-FFF2-40B4-BE49-F238E27FC236}">
              <a16:creationId xmlns:a16="http://schemas.microsoft.com/office/drawing/2014/main" id="{18301AEC-7BC3-40DD-A444-839D1BDE43F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43051" y="19050"/>
          <a:ext cx="1228724" cy="628650"/>
        </a:xfrm>
        <a:prstGeom prst="rect">
          <a:avLst/>
        </a:prstGeom>
        <a:noFill/>
        <a:ln>
          <a:noFill/>
        </a:ln>
      </xdr:spPr>
    </xdr:pic>
    <xdr:clientData/>
  </xdr:oneCellAnchor>
  <xdr:twoCellAnchor>
    <xdr:from>
      <xdr:col>18</xdr:col>
      <xdr:colOff>0</xdr:colOff>
      <xdr:row>0</xdr:row>
      <xdr:rowOff>190499</xdr:rowOff>
    </xdr:from>
    <xdr:to>
      <xdr:col>19</xdr:col>
      <xdr:colOff>38100</xdr:colOff>
      <xdr:row>3</xdr:row>
      <xdr:rowOff>7283</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122E2C6F-51C5-47B6-98C3-FD083016A949}"/>
            </a:ext>
          </a:extLst>
        </xdr:cNvPr>
        <xdr:cNvSpPr/>
      </xdr:nvSpPr>
      <xdr:spPr>
        <a:xfrm>
          <a:off x="13716000" y="190499"/>
          <a:ext cx="800100" cy="38828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1C94F-8BBB-48BE-AD61-969AA91E9250}">
  <sheetPr>
    <tabColor rgb="FF00B0F0"/>
    <pageSetUpPr fitToPage="1"/>
  </sheetPr>
  <dimension ref="A1:S35"/>
  <sheetViews>
    <sheetView view="pageBreakPreview" topLeftCell="A4" zoomScaleNormal="100" zoomScaleSheetLayoutView="100" workbookViewId="0">
      <selection activeCell="C11" sqref="C11:E11"/>
    </sheetView>
  </sheetViews>
  <sheetFormatPr baseColWidth="10" defaultRowHeight="18.75" customHeight="1" x14ac:dyDescent="0.25"/>
  <cols>
    <col min="1" max="1" width="3.7109375" style="102" customWidth="1"/>
    <col min="2" max="2" width="30.85546875" style="179" customWidth="1"/>
    <col min="3" max="3" width="15.85546875" style="159" customWidth="1"/>
    <col min="4" max="4" width="82" style="180" customWidth="1"/>
    <col min="5" max="5" width="13.7109375" style="2" customWidth="1"/>
    <col min="6" max="6" width="16.42578125" style="2" customWidth="1"/>
    <col min="7" max="7" width="22.28515625" style="2" customWidth="1"/>
    <col min="8" max="8" width="21.28515625" style="2" customWidth="1"/>
    <col min="9" max="256" width="11.42578125" style="2"/>
    <col min="257" max="257" width="3.7109375" style="2" customWidth="1"/>
    <col min="258" max="258" width="26.28515625" style="2" customWidth="1"/>
    <col min="259" max="259" width="15.85546875" style="2" customWidth="1"/>
    <col min="260" max="260" width="82" style="2" customWidth="1"/>
    <col min="261" max="261" width="13.7109375" style="2" customWidth="1"/>
    <col min="262" max="262" width="16.42578125" style="2" customWidth="1"/>
    <col min="263" max="263" width="22.28515625" style="2" customWidth="1"/>
    <col min="264" max="264" width="21.28515625" style="2" customWidth="1"/>
    <col min="265" max="512" width="11.42578125" style="2"/>
    <col min="513" max="513" width="3.7109375" style="2" customWidth="1"/>
    <col min="514" max="514" width="26.28515625" style="2" customWidth="1"/>
    <col min="515" max="515" width="15.85546875" style="2" customWidth="1"/>
    <col min="516" max="516" width="82" style="2" customWidth="1"/>
    <col min="517" max="517" width="13.7109375" style="2" customWidth="1"/>
    <col min="518" max="518" width="16.42578125" style="2" customWidth="1"/>
    <col min="519" max="519" width="22.28515625" style="2" customWidth="1"/>
    <col min="520" max="520" width="21.28515625" style="2" customWidth="1"/>
    <col min="521" max="768" width="11.42578125" style="2"/>
    <col min="769" max="769" width="3.7109375" style="2" customWidth="1"/>
    <col min="770" max="770" width="26.28515625" style="2" customWidth="1"/>
    <col min="771" max="771" width="15.85546875" style="2" customWidth="1"/>
    <col min="772" max="772" width="82" style="2" customWidth="1"/>
    <col min="773" max="773" width="13.7109375" style="2" customWidth="1"/>
    <col min="774" max="774" width="16.42578125" style="2" customWidth="1"/>
    <col min="775" max="775" width="22.28515625" style="2" customWidth="1"/>
    <col min="776" max="776" width="21.28515625" style="2" customWidth="1"/>
    <col min="777" max="1024" width="11.42578125" style="2"/>
    <col min="1025" max="1025" width="3.7109375" style="2" customWidth="1"/>
    <col min="1026" max="1026" width="26.28515625" style="2" customWidth="1"/>
    <col min="1027" max="1027" width="15.85546875" style="2" customWidth="1"/>
    <col min="1028" max="1028" width="82" style="2" customWidth="1"/>
    <col min="1029" max="1029" width="13.7109375" style="2" customWidth="1"/>
    <col min="1030" max="1030" width="16.42578125" style="2" customWidth="1"/>
    <col min="1031" max="1031" width="22.28515625" style="2" customWidth="1"/>
    <col min="1032" max="1032" width="21.28515625" style="2" customWidth="1"/>
    <col min="1033" max="1280" width="11.42578125" style="2"/>
    <col min="1281" max="1281" width="3.7109375" style="2" customWidth="1"/>
    <col min="1282" max="1282" width="26.28515625" style="2" customWidth="1"/>
    <col min="1283" max="1283" width="15.85546875" style="2" customWidth="1"/>
    <col min="1284" max="1284" width="82" style="2" customWidth="1"/>
    <col min="1285" max="1285" width="13.7109375" style="2" customWidth="1"/>
    <col min="1286" max="1286" width="16.42578125" style="2" customWidth="1"/>
    <col min="1287" max="1287" width="22.28515625" style="2" customWidth="1"/>
    <col min="1288" max="1288" width="21.28515625" style="2" customWidth="1"/>
    <col min="1289" max="1536" width="11.42578125" style="2"/>
    <col min="1537" max="1537" width="3.7109375" style="2" customWidth="1"/>
    <col min="1538" max="1538" width="26.28515625" style="2" customWidth="1"/>
    <col min="1539" max="1539" width="15.85546875" style="2" customWidth="1"/>
    <col min="1540" max="1540" width="82" style="2" customWidth="1"/>
    <col min="1541" max="1541" width="13.7109375" style="2" customWidth="1"/>
    <col min="1542" max="1542" width="16.42578125" style="2" customWidth="1"/>
    <col min="1543" max="1543" width="22.28515625" style="2" customWidth="1"/>
    <col min="1544" max="1544" width="21.28515625" style="2" customWidth="1"/>
    <col min="1545" max="1792" width="11.42578125" style="2"/>
    <col min="1793" max="1793" width="3.7109375" style="2" customWidth="1"/>
    <col min="1794" max="1794" width="26.28515625" style="2" customWidth="1"/>
    <col min="1795" max="1795" width="15.85546875" style="2" customWidth="1"/>
    <col min="1796" max="1796" width="82" style="2" customWidth="1"/>
    <col min="1797" max="1797" width="13.7109375" style="2" customWidth="1"/>
    <col min="1798" max="1798" width="16.42578125" style="2" customWidth="1"/>
    <col min="1799" max="1799" width="22.28515625" style="2" customWidth="1"/>
    <col min="1800" max="1800" width="21.28515625" style="2" customWidth="1"/>
    <col min="1801" max="2048" width="11.42578125" style="2"/>
    <col min="2049" max="2049" width="3.7109375" style="2" customWidth="1"/>
    <col min="2050" max="2050" width="26.28515625" style="2" customWidth="1"/>
    <col min="2051" max="2051" width="15.85546875" style="2" customWidth="1"/>
    <col min="2052" max="2052" width="82" style="2" customWidth="1"/>
    <col min="2053" max="2053" width="13.7109375" style="2" customWidth="1"/>
    <col min="2054" max="2054" width="16.42578125" style="2" customWidth="1"/>
    <col min="2055" max="2055" width="22.28515625" style="2" customWidth="1"/>
    <col min="2056" max="2056" width="21.28515625" style="2" customWidth="1"/>
    <col min="2057" max="2304" width="11.42578125" style="2"/>
    <col min="2305" max="2305" width="3.7109375" style="2" customWidth="1"/>
    <col min="2306" max="2306" width="26.28515625" style="2" customWidth="1"/>
    <col min="2307" max="2307" width="15.85546875" style="2" customWidth="1"/>
    <col min="2308" max="2308" width="82" style="2" customWidth="1"/>
    <col min="2309" max="2309" width="13.7109375" style="2" customWidth="1"/>
    <col min="2310" max="2310" width="16.42578125" style="2" customWidth="1"/>
    <col min="2311" max="2311" width="22.28515625" style="2" customWidth="1"/>
    <col min="2312" max="2312" width="21.28515625" style="2" customWidth="1"/>
    <col min="2313" max="2560" width="11.42578125" style="2"/>
    <col min="2561" max="2561" width="3.7109375" style="2" customWidth="1"/>
    <col min="2562" max="2562" width="26.28515625" style="2" customWidth="1"/>
    <col min="2563" max="2563" width="15.85546875" style="2" customWidth="1"/>
    <col min="2564" max="2564" width="82" style="2" customWidth="1"/>
    <col min="2565" max="2565" width="13.7109375" style="2" customWidth="1"/>
    <col min="2566" max="2566" width="16.42578125" style="2" customWidth="1"/>
    <col min="2567" max="2567" width="22.28515625" style="2" customWidth="1"/>
    <col min="2568" max="2568" width="21.28515625" style="2" customWidth="1"/>
    <col min="2569" max="2816" width="11.42578125" style="2"/>
    <col min="2817" max="2817" width="3.7109375" style="2" customWidth="1"/>
    <col min="2818" max="2818" width="26.28515625" style="2" customWidth="1"/>
    <col min="2819" max="2819" width="15.85546875" style="2" customWidth="1"/>
    <col min="2820" max="2820" width="82" style="2" customWidth="1"/>
    <col min="2821" max="2821" width="13.7109375" style="2" customWidth="1"/>
    <col min="2822" max="2822" width="16.42578125" style="2" customWidth="1"/>
    <col min="2823" max="2823" width="22.28515625" style="2" customWidth="1"/>
    <col min="2824" max="2824" width="21.28515625" style="2" customWidth="1"/>
    <col min="2825" max="3072" width="11.42578125" style="2"/>
    <col min="3073" max="3073" width="3.7109375" style="2" customWidth="1"/>
    <col min="3074" max="3074" width="26.28515625" style="2" customWidth="1"/>
    <col min="3075" max="3075" width="15.85546875" style="2" customWidth="1"/>
    <col min="3076" max="3076" width="82" style="2" customWidth="1"/>
    <col min="3077" max="3077" width="13.7109375" style="2" customWidth="1"/>
    <col min="3078" max="3078" width="16.42578125" style="2" customWidth="1"/>
    <col min="3079" max="3079" width="22.28515625" style="2" customWidth="1"/>
    <col min="3080" max="3080" width="21.28515625" style="2" customWidth="1"/>
    <col min="3081" max="3328" width="11.42578125" style="2"/>
    <col min="3329" max="3329" width="3.7109375" style="2" customWidth="1"/>
    <col min="3330" max="3330" width="26.28515625" style="2" customWidth="1"/>
    <col min="3331" max="3331" width="15.85546875" style="2" customWidth="1"/>
    <col min="3332" max="3332" width="82" style="2" customWidth="1"/>
    <col min="3333" max="3333" width="13.7109375" style="2" customWidth="1"/>
    <col min="3334" max="3334" width="16.42578125" style="2" customWidth="1"/>
    <col min="3335" max="3335" width="22.28515625" style="2" customWidth="1"/>
    <col min="3336" max="3336" width="21.28515625" style="2" customWidth="1"/>
    <col min="3337" max="3584" width="11.42578125" style="2"/>
    <col min="3585" max="3585" width="3.7109375" style="2" customWidth="1"/>
    <col min="3586" max="3586" width="26.28515625" style="2" customWidth="1"/>
    <col min="3587" max="3587" width="15.85546875" style="2" customWidth="1"/>
    <col min="3588" max="3588" width="82" style="2" customWidth="1"/>
    <col min="3589" max="3589" width="13.7109375" style="2" customWidth="1"/>
    <col min="3590" max="3590" width="16.42578125" style="2" customWidth="1"/>
    <col min="3591" max="3591" width="22.28515625" style="2" customWidth="1"/>
    <col min="3592" max="3592" width="21.28515625" style="2" customWidth="1"/>
    <col min="3593" max="3840" width="11.42578125" style="2"/>
    <col min="3841" max="3841" width="3.7109375" style="2" customWidth="1"/>
    <col min="3842" max="3842" width="26.28515625" style="2" customWidth="1"/>
    <col min="3843" max="3843" width="15.85546875" style="2" customWidth="1"/>
    <col min="3844" max="3844" width="82" style="2" customWidth="1"/>
    <col min="3845" max="3845" width="13.7109375" style="2" customWidth="1"/>
    <col min="3846" max="3846" width="16.42578125" style="2" customWidth="1"/>
    <col min="3847" max="3847" width="22.28515625" style="2" customWidth="1"/>
    <col min="3848" max="3848" width="21.28515625" style="2" customWidth="1"/>
    <col min="3849" max="4096" width="11.42578125" style="2"/>
    <col min="4097" max="4097" width="3.7109375" style="2" customWidth="1"/>
    <col min="4098" max="4098" width="26.28515625" style="2" customWidth="1"/>
    <col min="4099" max="4099" width="15.85546875" style="2" customWidth="1"/>
    <col min="4100" max="4100" width="82" style="2" customWidth="1"/>
    <col min="4101" max="4101" width="13.7109375" style="2" customWidth="1"/>
    <col min="4102" max="4102" width="16.42578125" style="2" customWidth="1"/>
    <col min="4103" max="4103" width="22.28515625" style="2" customWidth="1"/>
    <col min="4104" max="4104" width="21.28515625" style="2" customWidth="1"/>
    <col min="4105" max="4352" width="11.42578125" style="2"/>
    <col min="4353" max="4353" width="3.7109375" style="2" customWidth="1"/>
    <col min="4354" max="4354" width="26.28515625" style="2" customWidth="1"/>
    <col min="4355" max="4355" width="15.85546875" style="2" customWidth="1"/>
    <col min="4356" max="4356" width="82" style="2" customWidth="1"/>
    <col min="4357" max="4357" width="13.7109375" style="2" customWidth="1"/>
    <col min="4358" max="4358" width="16.42578125" style="2" customWidth="1"/>
    <col min="4359" max="4359" width="22.28515625" style="2" customWidth="1"/>
    <col min="4360" max="4360" width="21.28515625" style="2" customWidth="1"/>
    <col min="4361" max="4608" width="11.42578125" style="2"/>
    <col min="4609" max="4609" width="3.7109375" style="2" customWidth="1"/>
    <col min="4610" max="4610" width="26.28515625" style="2" customWidth="1"/>
    <col min="4611" max="4611" width="15.85546875" style="2" customWidth="1"/>
    <col min="4612" max="4612" width="82" style="2" customWidth="1"/>
    <col min="4613" max="4613" width="13.7109375" style="2" customWidth="1"/>
    <col min="4614" max="4614" width="16.42578125" style="2" customWidth="1"/>
    <col min="4615" max="4615" width="22.28515625" style="2" customWidth="1"/>
    <col min="4616" max="4616" width="21.28515625" style="2" customWidth="1"/>
    <col min="4617" max="4864" width="11.42578125" style="2"/>
    <col min="4865" max="4865" width="3.7109375" style="2" customWidth="1"/>
    <col min="4866" max="4866" width="26.28515625" style="2" customWidth="1"/>
    <col min="4867" max="4867" width="15.85546875" style="2" customWidth="1"/>
    <col min="4868" max="4868" width="82" style="2" customWidth="1"/>
    <col min="4869" max="4869" width="13.7109375" style="2" customWidth="1"/>
    <col min="4870" max="4870" width="16.42578125" style="2" customWidth="1"/>
    <col min="4871" max="4871" width="22.28515625" style="2" customWidth="1"/>
    <col min="4872" max="4872" width="21.28515625" style="2" customWidth="1"/>
    <col min="4873" max="5120" width="11.42578125" style="2"/>
    <col min="5121" max="5121" width="3.7109375" style="2" customWidth="1"/>
    <col min="5122" max="5122" width="26.28515625" style="2" customWidth="1"/>
    <col min="5123" max="5123" width="15.85546875" style="2" customWidth="1"/>
    <col min="5124" max="5124" width="82" style="2" customWidth="1"/>
    <col min="5125" max="5125" width="13.7109375" style="2" customWidth="1"/>
    <col min="5126" max="5126" width="16.42578125" style="2" customWidth="1"/>
    <col min="5127" max="5127" width="22.28515625" style="2" customWidth="1"/>
    <col min="5128" max="5128" width="21.28515625" style="2" customWidth="1"/>
    <col min="5129" max="5376" width="11.42578125" style="2"/>
    <col min="5377" max="5377" width="3.7109375" style="2" customWidth="1"/>
    <col min="5378" max="5378" width="26.28515625" style="2" customWidth="1"/>
    <col min="5379" max="5379" width="15.85546875" style="2" customWidth="1"/>
    <col min="5380" max="5380" width="82" style="2" customWidth="1"/>
    <col min="5381" max="5381" width="13.7109375" style="2" customWidth="1"/>
    <col min="5382" max="5382" width="16.42578125" style="2" customWidth="1"/>
    <col min="5383" max="5383" width="22.28515625" style="2" customWidth="1"/>
    <col min="5384" max="5384" width="21.28515625" style="2" customWidth="1"/>
    <col min="5385" max="5632" width="11.42578125" style="2"/>
    <col min="5633" max="5633" width="3.7109375" style="2" customWidth="1"/>
    <col min="5634" max="5634" width="26.28515625" style="2" customWidth="1"/>
    <col min="5635" max="5635" width="15.85546875" style="2" customWidth="1"/>
    <col min="5636" max="5636" width="82" style="2" customWidth="1"/>
    <col min="5637" max="5637" width="13.7109375" style="2" customWidth="1"/>
    <col min="5638" max="5638" width="16.42578125" style="2" customWidth="1"/>
    <col min="5639" max="5639" width="22.28515625" style="2" customWidth="1"/>
    <col min="5640" max="5640" width="21.28515625" style="2" customWidth="1"/>
    <col min="5641" max="5888" width="11.42578125" style="2"/>
    <col min="5889" max="5889" width="3.7109375" style="2" customWidth="1"/>
    <col min="5890" max="5890" width="26.28515625" style="2" customWidth="1"/>
    <col min="5891" max="5891" width="15.85546875" style="2" customWidth="1"/>
    <col min="5892" max="5892" width="82" style="2" customWidth="1"/>
    <col min="5893" max="5893" width="13.7109375" style="2" customWidth="1"/>
    <col min="5894" max="5894" width="16.42578125" style="2" customWidth="1"/>
    <col min="5895" max="5895" width="22.28515625" style="2" customWidth="1"/>
    <col min="5896" max="5896" width="21.28515625" style="2" customWidth="1"/>
    <col min="5897" max="6144" width="11.42578125" style="2"/>
    <col min="6145" max="6145" width="3.7109375" style="2" customWidth="1"/>
    <col min="6146" max="6146" width="26.28515625" style="2" customWidth="1"/>
    <col min="6147" max="6147" width="15.85546875" style="2" customWidth="1"/>
    <col min="6148" max="6148" width="82" style="2" customWidth="1"/>
    <col min="6149" max="6149" width="13.7109375" style="2" customWidth="1"/>
    <col min="6150" max="6150" width="16.42578125" style="2" customWidth="1"/>
    <col min="6151" max="6151" width="22.28515625" style="2" customWidth="1"/>
    <col min="6152" max="6152" width="21.28515625" style="2" customWidth="1"/>
    <col min="6153" max="6400" width="11.42578125" style="2"/>
    <col min="6401" max="6401" width="3.7109375" style="2" customWidth="1"/>
    <col min="6402" max="6402" width="26.28515625" style="2" customWidth="1"/>
    <col min="6403" max="6403" width="15.85546875" style="2" customWidth="1"/>
    <col min="6404" max="6404" width="82" style="2" customWidth="1"/>
    <col min="6405" max="6405" width="13.7109375" style="2" customWidth="1"/>
    <col min="6406" max="6406" width="16.42578125" style="2" customWidth="1"/>
    <col min="6407" max="6407" width="22.28515625" style="2" customWidth="1"/>
    <col min="6408" max="6408" width="21.28515625" style="2" customWidth="1"/>
    <col min="6409" max="6656" width="11.42578125" style="2"/>
    <col min="6657" max="6657" width="3.7109375" style="2" customWidth="1"/>
    <col min="6658" max="6658" width="26.28515625" style="2" customWidth="1"/>
    <col min="6659" max="6659" width="15.85546875" style="2" customWidth="1"/>
    <col min="6660" max="6660" width="82" style="2" customWidth="1"/>
    <col min="6661" max="6661" width="13.7109375" style="2" customWidth="1"/>
    <col min="6662" max="6662" width="16.42578125" style="2" customWidth="1"/>
    <col min="6663" max="6663" width="22.28515625" style="2" customWidth="1"/>
    <col min="6664" max="6664" width="21.28515625" style="2" customWidth="1"/>
    <col min="6665" max="6912" width="11.42578125" style="2"/>
    <col min="6913" max="6913" width="3.7109375" style="2" customWidth="1"/>
    <col min="6914" max="6914" width="26.28515625" style="2" customWidth="1"/>
    <col min="6915" max="6915" width="15.85546875" style="2" customWidth="1"/>
    <col min="6916" max="6916" width="82" style="2" customWidth="1"/>
    <col min="6917" max="6917" width="13.7109375" style="2" customWidth="1"/>
    <col min="6918" max="6918" width="16.42578125" style="2" customWidth="1"/>
    <col min="6919" max="6919" width="22.28515625" style="2" customWidth="1"/>
    <col min="6920" max="6920" width="21.28515625" style="2" customWidth="1"/>
    <col min="6921" max="7168" width="11.42578125" style="2"/>
    <col min="7169" max="7169" width="3.7109375" style="2" customWidth="1"/>
    <col min="7170" max="7170" width="26.28515625" style="2" customWidth="1"/>
    <col min="7171" max="7171" width="15.85546875" style="2" customWidth="1"/>
    <col min="7172" max="7172" width="82" style="2" customWidth="1"/>
    <col min="7173" max="7173" width="13.7109375" style="2" customWidth="1"/>
    <col min="7174" max="7174" width="16.42578125" style="2" customWidth="1"/>
    <col min="7175" max="7175" width="22.28515625" style="2" customWidth="1"/>
    <col min="7176" max="7176" width="21.28515625" style="2" customWidth="1"/>
    <col min="7177" max="7424" width="11.42578125" style="2"/>
    <col min="7425" max="7425" width="3.7109375" style="2" customWidth="1"/>
    <col min="7426" max="7426" width="26.28515625" style="2" customWidth="1"/>
    <col min="7427" max="7427" width="15.85546875" style="2" customWidth="1"/>
    <col min="7428" max="7428" width="82" style="2" customWidth="1"/>
    <col min="7429" max="7429" width="13.7109375" style="2" customWidth="1"/>
    <col min="7430" max="7430" width="16.42578125" style="2" customWidth="1"/>
    <col min="7431" max="7431" width="22.28515625" style="2" customWidth="1"/>
    <col min="7432" max="7432" width="21.28515625" style="2" customWidth="1"/>
    <col min="7433" max="7680" width="11.42578125" style="2"/>
    <col min="7681" max="7681" width="3.7109375" style="2" customWidth="1"/>
    <col min="7682" max="7682" width="26.28515625" style="2" customWidth="1"/>
    <col min="7683" max="7683" width="15.85546875" style="2" customWidth="1"/>
    <col min="7684" max="7684" width="82" style="2" customWidth="1"/>
    <col min="7685" max="7685" width="13.7109375" style="2" customWidth="1"/>
    <col min="7686" max="7686" width="16.42578125" style="2" customWidth="1"/>
    <col min="7687" max="7687" width="22.28515625" style="2" customWidth="1"/>
    <col min="7688" max="7688" width="21.28515625" style="2" customWidth="1"/>
    <col min="7689" max="7936" width="11.42578125" style="2"/>
    <col min="7937" max="7937" width="3.7109375" style="2" customWidth="1"/>
    <col min="7938" max="7938" width="26.28515625" style="2" customWidth="1"/>
    <col min="7939" max="7939" width="15.85546875" style="2" customWidth="1"/>
    <col min="7940" max="7940" width="82" style="2" customWidth="1"/>
    <col min="7941" max="7941" width="13.7109375" style="2" customWidth="1"/>
    <col min="7942" max="7942" width="16.42578125" style="2" customWidth="1"/>
    <col min="7943" max="7943" width="22.28515625" style="2" customWidth="1"/>
    <col min="7944" max="7944" width="21.28515625" style="2" customWidth="1"/>
    <col min="7945" max="8192" width="11.42578125" style="2"/>
    <col min="8193" max="8193" width="3.7109375" style="2" customWidth="1"/>
    <col min="8194" max="8194" width="26.28515625" style="2" customWidth="1"/>
    <col min="8195" max="8195" width="15.85546875" style="2" customWidth="1"/>
    <col min="8196" max="8196" width="82" style="2" customWidth="1"/>
    <col min="8197" max="8197" width="13.7109375" style="2" customWidth="1"/>
    <col min="8198" max="8198" width="16.42578125" style="2" customWidth="1"/>
    <col min="8199" max="8199" width="22.28515625" style="2" customWidth="1"/>
    <col min="8200" max="8200" width="21.28515625" style="2" customWidth="1"/>
    <col min="8201" max="8448" width="11.42578125" style="2"/>
    <col min="8449" max="8449" width="3.7109375" style="2" customWidth="1"/>
    <col min="8450" max="8450" width="26.28515625" style="2" customWidth="1"/>
    <col min="8451" max="8451" width="15.85546875" style="2" customWidth="1"/>
    <col min="8452" max="8452" width="82" style="2" customWidth="1"/>
    <col min="8453" max="8453" width="13.7109375" style="2" customWidth="1"/>
    <col min="8454" max="8454" width="16.42578125" style="2" customWidth="1"/>
    <col min="8455" max="8455" width="22.28515625" style="2" customWidth="1"/>
    <col min="8456" max="8456" width="21.28515625" style="2" customWidth="1"/>
    <col min="8457" max="8704" width="11.42578125" style="2"/>
    <col min="8705" max="8705" width="3.7109375" style="2" customWidth="1"/>
    <col min="8706" max="8706" width="26.28515625" style="2" customWidth="1"/>
    <col min="8707" max="8707" width="15.85546875" style="2" customWidth="1"/>
    <col min="8708" max="8708" width="82" style="2" customWidth="1"/>
    <col min="8709" max="8709" width="13.7109375" style="2" customWidth="1"/>
    <col min="8710" max="8710" width="16.42578125" style="2" customWidth="1"/>
    <col min="8711" max="8711" width="22.28515625" style="2" customWidth="1"/>
    <col min="8712" max="8712" width="21.28515625" style="2" customWidth="1"/>
    <col min="8713" max="8960" width="11.42578125" style="2"/>
    <col min="8961" max="8961" width="3.7109375" style="2" customWidth="1"/>
    <col min="8962" max="8962" width="26.28515625" style="2" customWidth="1"/>
    <col min="8963" max="8963" width="15.85546875" style="2" customWidth="1"/>
    <col min="8964" max="8964" width="82" style="2" customWidth="1"/>
    <col min="8965" max="8965" width="13.7109375" style="2" customWidth="1"/>
    <col min="8966" max="8966" width="16.42578125" style="2" customWidth="1"/>
    <col min="8967" max="8967" width="22.28515625" style="2" customWidth="1"/>
    <col min="8968" max="8968" width="21.28515625" style="2" customWidth="1"/>
    <col min="8969" max="9216" width="11.42578125" style="2"/>
    <col min="9217" max="9217" width="3.7109375" style="2" customWidth="1"/>
    <col min="9218" max="9218" width="26.28515625" style="2" customWidth="1"/>
    <col min="9219" max="9219" width="15.85546875" style="2" customWidth="1"/>
    <col min="9220" max="9220" width="82" style="2" customWidth="1"/>
    <col min="9221" max="9221" width="13.7109375" style="2" customWidth="1"/>
    <col min="9222" max="9222" width="16.42578125" style="2" customWidth="1"/>
    <col min="9223" max="9223" width="22.28515625" style="2" customWidth="1"/>
    <col min="9224" max="9224" width="21.28515625" style="2" customWidth="1"/>
    <col min="9225" max="9472" width="11.42578125" style="2"/>
    <col min="9473" max="9473" width="3.7109375" style="2" customWidth="1"/>
    <col min="9474" max="9474" width="26.28515625" style="2" customWidth="1"/>
    <col min="9475" max="9475" width="15.85546875" style="2" customWidth="1"/>
    <col min="9476" max="9476" width="82" style="2" customWidth="1"/>
    <col min="9477" max="9477" width="13.7109375" style="2" customWidth="1"/>
    <col min="9478" max="9478" width="16.42578125" style="2" customWidth="1"/>
    <col min="9479" max="9479" width="22.28515625" style="2" customWidth="1"/>
    <col min="9480" max="9480" width="21.28515625" style="2" customWidth="1"/>
    <col min="9481" max="9728" width="11.42578125" style="2"/>
    <col min="9729" max="9729" width="3.7109375" style="2" customWidth="1"/>
    <col min="9730" max="9730" width="26.28515625" style="2" customWidth="1"/>
    <col min="9731" max="9731" width="15.85546875" style="2" customWidth="1"/>
    <col min="9732" max="9732" width="82" style="2" customWidth="1"/>
    <col min="9733" max="9733" width="13.7109375" style="2" customWidth="1"/>
    <col min="9734" max="9734" width="16.42578125" style="2" customWidth="1"/>
    <col min="9735" max="9735" width="22.28515625" style="2" customWidth="1"/>
    <col min="9736" max="9736" width="21.28515625" style="2" customWidth="1"/>
    <col min="9737" max="9984" width="11.42578125" style="2"/>
    <col min="9985" max="9985" width="3.7109375" style="2" customWidth="1"/>
    <col min="9986" max="9986" width="26.28515625" style="2" customWidth="1"/>
    <col min="9987" max="9987" width="15.85546875" style="2" customWidth="1"/>
    <col min="9988" max="9988" width="82" style="2" customWidth="1"/>
    <col min="9989" max="9989" width="13.7109375" style="2" customWidth="1"/>
    <col min="9990" max="9990" width="16.42578125" style="2" customWidth="1"/>
    <col min="9991" max="9991" width="22.28515625" style="2" customWidth="1"/>
    <col min="9992" max="9992" width="21.28515625" style="2" customWidth="1"/>
    <col min="9993" max="10240" width="11.42578125" style="2"/>
    <col min="10241" max="10241" width="3.7109375" style="2" customWidth="1"/>
    <col min="10242" max="10242" width="26.28515625" style="2" customWidth="1"/>
    <col min="10243" max="10243" width="15.85546875" style="2" customWidth="1"/>
    <col min="10244" max="10244" width="82" style="2" customWidth="1"/>
    <col min="10245" max="10245" width="13.7109375" style="2" customWidth="1"/>
    <col min="10246" max="10246" width="16.42578125" style="2" customWidth="1"/>
    <col min="10247" max="10247" width="22.28515625" style="2" customWidth="1"/>
    <col min="10248" max="10248" width="21.28515625" style="2" customWidth="1"/>
    <col min="10249" max="10496" width="11.42578125" style="2"/>
    <col min="10497" max="10497" width="3.7109375" style="2" customWidth="1"/>
    <col min="10498" max="10498" width="26.28515625" style="2" customWidth="1"/>
    <col min="10499" max="10499" width="15.85546875" style="2" customWidth="1"/>
    <col min="10500" max="10500" width="82" style="2" customWidth="1"/>
    <col min="10501" max="10501" width="13.7109375" style="2" customWidth="1"/>
    <col min="10502" max="10502" width="16.42578125" style="2" customWidth="1"/>
    <col min="10503" max="10503" width="22.28515625" style="2" customWidth="1"/>
    <col min="10504" max="10504" width="21.28515625" style="2" customWidth="1"/>
    <col min="10505" max="10752" width="11.42578125" style="2"/>
    <col min="10753" max="10753" width="3.7109375" style="2" customWidth="1"/>
    <col min="10754" max="10754" width="26.28515625" style="2" customWidth="1"/>
    <col min="10755" max="10755" width="15.85546875" style="2" customWidth="1"/>
    <col min="10756" max="10756" width="82" style="2" customWidth="1"/>
    <col min="10757" max="10757" width="13.7109375" style="2" customWidth="1"/>
    <col min="10758" max="10758" width="16.42578125" style="2" customWidth="1"/>
    <col min="10759" max="10759" width="22.28515625" style="2" customWidth="1"/>
    <col min="10760" max="10760" width="21.28515625" style="2" customWidth="1"/>
    <col min="10761" max="11008" width="11.42578125" style="2"/>
    <col min="11009" max="11009" width="3.7109375" style="2" customWidth="1"/>
    <col min="11010" max="11010" width="26.28515625" style="2" customWidth="1"/>
    <col min="11011" max="11011" width="15.85546875" style="2" customWidth="1"/>
    <col min="11012" max="11012" width="82" style="2" customWidth="1"/>
    <col min="11013" max="11013" width="13.7109375" style="2" customWidth="1"/>
    <col min="11014" max="11014" width="16.42578125" style="2" customWidth="1"/>
    <col min="11015" max="11015" width="22.28515625" style="2" customWidth="1"/>
    <col min="11016" max="11016" width="21.28515625" style="2" customWidth="1"/>
    <col min="11017" max="11264" width="11.42578125" style="2"/>
    <col min="11265" max="11265" width="3.7109375" style="2" customWidth="1"/>
    <col min="11266" max="11266" width="26.28515625" style="2" customWidth="1"/>
    <col min="11267" max="11267" width="15.85546875" style="2" customWidth="1"/>
    <col min="11268" max="11268" width="82" style="2" customWidth="1"/>
    <col min="11269" max="11269" width="13.7109375" style="2" customWidth="1"/>
    <col min="11270" max="11270" width="16.42578125" style="2" customWidth="1"/>
    <col min="11271" max="11271" width="22.28515625" style="2" customWidth="1"/>
    <col min="11272" max="11272" width="21.28515625" style="2" customWidth="1"/>
    <col min="11273" max="11520" width="11.42578125" style="2"/>
    <col min="11521" max="11521" width="3.7109375" style="2" customWidth="1"/>
    <col min="11522" max="11522" width="26.28515625" style="2" customWidth="1"/>
    <col min="11523" max="11523" width="15.85546875" style="2" customWidth="1"/>
    <col min="11524" max="11524" width="82" style="2" customWidth="1"/>
    <col min="11525" max="11525" width="13.7109375" style="2" customWidth="1"/>
    <col min="11526" max="11526" width="16.42578125" style="2" customWidth="1"/>
    <col min="11527" max="11527" width="22.28515625" style="2" customWidth="1"/>
    <col min="11528" max="11528" width="21.28515625" style="2" customWidth="1"/>
    <col min="11529" max="11776" width="11.42578125" style="2"/>
    <col min="11777" max="11777" width="3.7109375" style="2" customWidth="1"/>
    <col min="11778" max="11778" width="26.28515625" style="2" customWidth="1"/>
    <col min="11779" max="11779" width="15.85546875" style="2" customWidth="1"/>
    <col min="11780" max="11780" width="82" style="2" customWidth="1"/>
    <col min="11781" max="11781" width="13.7109375" style="2" customWidth="1"/>
    <col min="11782" max="11782" width="16.42578125" style="2" customWidth="1"/>
    <col min="11783" max="11783" width="22.28515625" style="2" customWidth="1"/>
    <col min="11784" max="11784" width="21.28515625" style="2" customWidth="1"/>
    <col min="11785" max="12032" width="11.42578125" style="2"/>
    <col min="12033" max="12033" width="3.7109375" style="2" customWidth="1"/>
    <col min="12034" max="12034" width="26.28515625" style="2" customWidth="1"/>
    <col min="12035" max="12035" width="15.85546875" style="2" customWidth="1"/>
    <col min="12036" max="12036" width="82" style="2" customWidth="1"/>
    <col min="12037" max="12037" width="13.7109375" style="2" customWidth="1"/>
    <col min="12038" max="12038" width="16.42578125" style="2" customWidth="1"/>
    <col min="12039" max="12039" width="22.28515625" style="2" customWidth="1"/>
    <col min="12040" max="12040" width="21.28515625" style="2" customWidth="1"/>
    <col min="12041" max="12288" width="11.42578125" style="2"/>
    <col min="12289" max="12289" width="3.7109375" style="2" customWidth="1"/>
    <col min="12290" max="12290" width="26.28515625" style="2" customWidth="1"/>
    <col min="12291" max="12291" width="15.85546875" style="2" customWidth="1"/>
    <col min="12292" max="12292" width="82" style="2" customWidth="1"/>
    <col min="12293" max="12293" width="13.7109375" style="2" customWidth="1"/>
    <col min="12294" max="12294" width="16.42578125" style="2" customWidth="1"/>
    <col min="12295" max="12295" width="22.28515625" style="2" customWidth="1"/>
    <col min="12296" max="12296" width="21.28515625" style="2" customWidth="1"/>
    <col min="12297" max="12544" width="11.42578125" style="2"/>
    <col min="12545" max="12545" width="3.7109375" style="2" customWidth="1"/>
    <col min="12546" max="12546" width="26.28515625" style="2" customWidth="1"/>
    <col min="12547" max="12547" width="15.85546875" style="2" customWidth="1"/>
    <col min="12548" max="12548" width="82" style="2" customWidth="1"/>
    <col min="12549" max="12549" width="13.7109375" style="2" customWidth="1"/>
    <col min="12550" max="12550" width="16.42578125" style="2" customWidth="1"/>
    <col min="12551" max="12551" width="22.28515625" style="2" customWidth="1"/>
    <col min="12552" max="12552" width="21.28515625" style="2" customWidth="1"/>
    <col min="12553" max="12800" width="11.42578125" style="2"/>
    <col min="12801" max="12801" width="3.7109375" style="2" customWidth="1"/>
    <col min="12802" max="12802" width="26.28515625" style="2" customWidth="1"/>
    <col min="12803" max="12803" width="15.85546875" style="2" customWidth="1"/>
    <col min="12804" max="12804" width="82" style="2" customWidth="1"/>
    <col min="12805" max="12805" width="13.7109375" style="2" customWidth="1"/>
    <col min="12806" max="12806" width="16.42578125" style="2" customWidth="1"/>
    <col min="12807" max="12807" width="22.28515625" style="2" customWidth="1"/>
    <col min="12808" max="12808" width="21.28515625" style="2" customWidth="1"/>
    <col min="12809" max="13056" width="11.42578125" style="2"/>
    <col min="13057" max="13057" width="3.7109375" style="2" customWidth="1"/>
    <col min="13058" max="13058" width="26.28515625" style="2" customWidth="1"/>
    <col min="13059" max="13059" width="15.85546875" style="2" customWidth="1"/>
    <col min="13060" max="13060" width="82" style="2" customWidth="1"/>
    <col min="13061" max="13061" width="13.7109375" style="2" customWidth="1"/>
    <col min="13062" max="13062" width="16.42578125" style="2" customWidth="1"/>
    <col min="13063" max="13063" width="22.28515625" style="2" customWidth="1"/>
    <col min="13064" max="13064" width="21.28515625" style="2" customWidth="1"/>
    <col min="13065" max="13312" width="11.42578125" style="2"/>
    <col min="13313" max="13313" width="3.7109375" style="2" customWidth="1"/>
    <col min="13314" max="13314" width="26.28515625" style="2" customWidth="1"/>
    <col min="13315" max="13315" width="15.85546875" style="2" customWidth="1"/>
    <col min="13316" max="13316" width="82" style="2" customWidth="1"/>
    <col min="13317" max="13317" width="13.7109375" style="2" customWidth="1"/>
    <col min="13318" max="13318" width="16.42578125" style="2" customWidth="1"/>
    <col min="13319" max="13319" width="22.28515625" style="2" customWidth="1"/>
    <col min="13320" max="13320" width="21.28515625" style="2" customWidth="1"/>
    <col min="13321" max="13568" width="11.42578125" style="2"/>
    <col min="13569" max="13569" width="3.7109375" style="2" customWidth="1"/>
    <col min="13570" max="13570" width="26.28515625" style="2" customWidth="1"/>
    <col min="13571" max="13571" width="15.85546875" style="2" customWidth="1"/>
    <col min="13572" max="13572" width="82" style="2" customWidth="1"/>
    <col min="13573" max="13573" width="13.7109375" style="2" customWidth="1"/>
    <col min="13574" max="13574" width="16.42578125" style="2" customWidth="1"/>
    <col min="13575" max="13575" width="22.28515625" style="2" customWidth="1"/>
    <col min="13576" max="13576" width="21.28515625" style="2" customWidth="1"/>
    <col min="13577" max="13824" width="11.42578125" style="2"/>
    <col min="13825" max="13825" width="3.7109375" style="2" customWidth="1"/>
    <col min="13826" max="13826" width="26.28515625" style="2" customWidth="1"/>
    <col min="13827" max="13827" width="15.85546875" style="2" customWidth="1"/>
    <col min="13828" max="13828" width="82" style="2" customWidth="1"/>
    <col min="13829" max="13829" width="13.7109375" style="2" customWidth="1"/>
    <col min="13830" max="13830" width="16.42578125" style="2" customWidth="1"/>
    <col min="13831" max="13831" width="22.28515625" style="2" customWidth="1"/>
    <col min="13832" max="13832" width="21.28515625" style="2" customWidth="1"/>
    <col min="13833" max="14080" width="11.42578125" style="2"/>
    <col min="14081" max="14081" width="3.7109375" style="2" customWidth="1"/>
    <col min="14082" max="14082" width="26.28515625" style="2" customWidth="1"/>
    <col min="14083" max="14083" width="15.85546875" style="2" customWidth="1"/>
    <col min="14084" max="14084" width="82" style="2" customWidth="1"/>
    <col min="14085" max="14085" width="13.7109375" style="2" customWidth="1"/>
    <col min="14086" max="14086" width="16.42578125" style="2" customWidth="1"/>
    <col min="14087" max="14087" width="22.28515625" style="2" customWidth="1"/>
    <col min="14088" max="14088" width="21.28515625" style="2" customWidth="1"/>
    <col min="14089" max="14336" width="11.42578125" style="2"/>
    <col min="14337" max="14337" width="3.7109375" style="2" customWidth="1"/>
    <col min="14338" max="14338" width="26.28515625" style="2" customWidth="1"/>
    <col min="14339" max="14339" width="15.85546875" style="2" customWidth="1"/>
    <col min="14340" max="14340" width="82" style="2" customWidth="1"/>
    <col min="14341" max="14341" width="13.7109375" style="2" customWidth="1"/>
    <col min="14342" max="14342" width="16.42578125" style="2" customWidth="1"/>
    <col min="14343" max="14343" width="22.28515625" style="2" customWidth="1"/>
    <col min="14344" max="14344" width="21.28515625" style="2" customWidth="1"/>
    <col min="14345" max="14592" width="11.42578125" style="2"/>
    <col min="14593" max="14593" width="3.7109375" style="2" customWidth="1"/>
    <col min="14594" max="14594" width="26.28515625" style="2" customWidth="1"/>
    <col min="14595" max="14595" width="15.85546875" style="2" customWidth="1"/>
    <col min="14596" max="14596" width="82" style="2" customWidth="1"/>
    <col min="14597" max="14597" width="13.7109375" style="2" customWidth="1"/>
    <col min="14598" max="14598" width="16.42578125" style="2" customWidth="1"/>
    <col min="14599" max="14599" width="22.28515625" style="2" customWidth="1"/>
    <col min="14600" max="14600" width="21.28515625" style="2" customWidth="1"/>
    <col min="14601" max="14848" width="11.42578125" style="2"/>
    <col min="14849" max="14849" width="3.7109375" style="2" customWidth="1"/>
    <col min="14850" max="14850" width="26.28515625" style="2" customWidth="1"/>
    <col min="14851" max="14851" width="15.85546875" style="2" customWidth="1"/>
    <col min="14852" max="14852" width="82" style="2" customWidth="1"/>
    <col min="14853" max="14853" width="13.7109375" style="2" customWidth="1"/>
    <col min="14854" max="14854" width="16.42578125" style="2" customWidth="1"/>
    <col min="14855" max="14855" width="22.28515625" style="2" customWidth="1"/>
    <col min="14856" max="14856" width="21.28515625" style="2" customWidth="1"/>
    <col min="14857" max="15104" width="11.42578125" style="2"/>
    <col min="15105" max="15105" width="3.7109375" style="2" customWidth="1"/>
    <col min="15106" max="15106" width="26.28515625" style="2" customWidth="1"/>
    <col min="15107" max="15107" width="15.85546875" style="2" customWidth="1"/>
    <col min="15108" max="15108" width="82" style="2" customWidth="1"/>
    <col min="15109" max="15109" width="13.7109375" style="2" customWidth="1"/>
    <col min="15110" max="15110" width="16.42578125" style="2" customWidth="1"/>
    <col min="15111" max="15111" width="22.28515625" style="2" customWidth="1"/>
    <col min="15112" max="15112" width="21.28515625" style="2" customWidth="1"/>
    <col min="15113" max="15360" width="11.42578125" style="2"/>
    <col min="15361" max="15361" width="3.7109375" style="2" customWidth="1"/>
    <col min="15362" max="15362" width="26.28515625" style="2" customWidth="1"/>
    <col min="15363" max="15363" width="15.85546875" style="2" customWidth="1"/>
    <col min="15364" max="15364" width="82" style="2" customWidth="1"/>
    <col min="15365" max="15365" width="13.7109375" style="2" customWidth="1"/>
    <col min="15366" max="15366" width="16.42578125" style="2" customWidth="1"/>
    <col min="15367" max="15367" width="22.28515625" style="2" customWidth="1"/>
    <col min="15368" max="15368" width="21.28515625" style="2" customWidth="1"/>
    <col min="15369" max="15616" width="11.42578125" style="2"/>
    <col min="15617" max="15617" width="3.7109375" style="2" customWidth="1"/>
    <col min="15618" max="15618" width="26.28515625" style="2" customWidth="1"/>
    <col min="15619" max="15619" width="15.85546875" style="2" customWidth="1"/>
    <col min="15620" max="15620" width="82" style="2" customWidth="1"/>
    <col min="15621" max="15621" width="13.7109375" style="2" customWidth="1"/>
    <col min="15622" max="15622" width="16.42578125" style="2" customWidth="1"/>
    <col min="15623" max="15623" width="22.28515625" style="2" customWidth="1"/>
    <col min="15624" max="15624" width="21.28515625" style="2" customWidth="1"/>
    <col min="15625" max="15872" width="11.42578125" style="2"/>
    <col min="15873" max="15873" width="3.7109375" style="2" customWidth="1"/>
    <col min="15874" max="15874" width="26.28515625" style="2" customWidth="1"/>
    <col min="15875" max="15875" width="15.85546875" style="2" customWidth="1"/>
    <col min="15876" max="15876" width="82" style="2" customWidth="1"/>
    <col min="15877" max="15877" width="13.7109375" style="2" customWidth="1"/>
    <col min="15878" max="15878" width="16.42578125" style="2" customWidth="1"/>
    <col min="15879" max="15879" width="22.28515625" style="2" customWidth="1"/>
    <col min="15880" max="15880" width="21.28515625" style="2" customWidth="1"/>
    <col min="15881" max="16128" width="11.42578125" style="2"/>
    <col min="16129" max="16129" width="3.7109375" style="2" customWidth="1"/>
    <col min="16130" max="16130" width="26.28515625" style="2" customWidth="1"/>
    <col min="16131" max="16131" width="15.85546875" style="2" customWidth="1"/>
    <col min="16132" max="16132" width="82" style="2" customWidth="1"/>
    <col min="16133" max="16133" width="13.7109375" style="2" customWidth="1"/>
    <col min="16134" max="16134" width="16.42578125" style="2" customWidth="1"/>
    <col min="16135" max="16135" width="22.28515625" style="2" customWidth="1"/>
    <col min="16136" max="16136" width="21.28515625" style="2" customWidth="1"/>
    <col min="16137" max="16384" width="11.42578125" style="2"/>
  </cols>
  <sheetData>
    <row r="1" spans="1:19" s="95" customFormat="1" ht="30.75" customHeight="1" x14ac:dyDescent="0.3">
      <c r="A1" s="89"/>
      <c r="B1" s="90"/>
      <c r="C1" s="91" t="s">
        <v>107</v>
      </c>
      <c r="D1" s="91"/>
      <c r="E1" s="92">
        <v>105</v>
      </c>
      <c r="F1" s="93"/>
      <c r="G1" s="93"/>
      <c r="H1" s="93"/>
      <c r="I1" s="94"/>
      <c r="J1" s="94"/>
      <c r="K1" s="94"/>
      <c r="L1" s="94"/>
      <c r="M1" s="94"/>
      <c r="N1" s="94"/>
      <c r="O1" s="94"/>
      <c r="P1" s="94"/>
      <c r="Q1" s="94"/>
      <c r="R1" s="94"/>
      <c r="S1" s="94"/>
    </row>
    <row r="2" spans="1:19" s="95" customFormat="1" ht="27" customHeight="1" thickBot="1" x14ac:dyDescent="0.3">
      <c r="A2" s="89"/>
      <c r="B2" s="96"/>
      <c r="C2" s="97" t="s">
        <v>108</v>
      </c>
      <c r="D2" s="97"/>
      <c r="E2" s="98"/>
      <c r="F2" s="99"/>
      <c r="G2" s="99"/>
      <c r="H2" s="100"/>
      <c r="I2" s="101"/>
      <c r="J2" s="101"/>
      <c r="K2" s="101"/>
      <c r="L2" s="101"/>
      <c r="M2" s="101"/>
      <c r="N2" s="101"/>
      <c r="O2" s="101"/>
      <c r="P2" s="101"/>
      <c r="Q2" s="101"/>
      <c r="R2" s="101"/>
      <c r="S2" s="101"/>
    </row>
    <row r="3" spans="1:19" ht="18.75" customHeight="1" x14ac:dyDescent="0.25">
      <c r="B3" s="103" t="s">
        <v>87</v>
      </c>
      <c r="C3" s="104" t="s">
        <v>98</v>
      </c>
      <c r="D3" s="105">
        <v>45162</v>
      </c>
      <c r="E3" s="106"/>
      <c r="F3" s="107"/>
      <c r="G3" s="107"/>
      <c r="H3" s="107"/>
    </row>
    <row r="4" spans="1:19" ht="18.75" customHeight="1" x14ac:dyDescent="0.25">
      <c r="B4" s="108"/>
      <c r="C4" s="109" t="s">
        <v>109</v>
      </c>
      <c r="D4" s="110">
        <f>+D3+100</f>
        <v>45262</v>
      </c>
      <c r="E4" s="111"/>
      <c r="F4" s="107"/>
      <c r="G4" s="107"/>
      <c r="H4" s="107"/>
    </row>
    <row r="5" spans="1:19" ht="18.75" customHeight="1" x14ac:dyDescent="0.25">
      <c r="B5" s="112" t="s">
        <v>110</v>
      </c>
      <c r="C5" s="113" t="s">
        <v>111</v>
      </c>
      <c r="D5" s="114"/>
      <c r="E5" s="115"/>
      <c r="F5" s="116"/>
      <c r="G5" s="116"/>
      <c r="H5" s="116"/>
    </row>
    <row r="6" spans="1:19" ht="18.75" customHeight="1" x14ac:dyDescent="0.25">
      <c r="B6" s="112" t="s">
        <v>112</v>
      </c>
      <c r="C6" s="113" t="s">
        <v>113</v>
      </c>
      <c r="D6" s="114"/>
      <c r="E6" s="115"/>
      <c r="F6" s="116"/>
      <c r="G6" s="116"/>
      <c r="H6" s="116"/>
    </row>
    <row r="7" spans="1:19" ht="18.75" customHeight="1" x14ac:dyDescent="0.25">
      <c r="B7" s="112" t="s">
        <v>114</v>
      </c>
      <c r="C7" s="113" t="s">
        <v>115</v>
      </c>
      <c r="D7" s="114"/>
      <c r="E7" s="115"/>
      <c r="F7" s="117"/>
      <c r="G7" s="117"/>
      <c r="H7" s="117"/>
    </row>
    <row r="8" spans="1:19" ht="18.75" customHeight="1" x14ac:dyDescent="0.25">
      <c r="B8" s="112" t="s">
        <v>89</v>
      </c>
      <c r="C8" s="113" t="s">
        <v>116</v>
      </c>
      <c r="D8" s="114"/>
      <c r="E8" s="115"/>
      <c r="F8" s="117"/>
      <c r="G8" s="117"/>
      <c r="H8" s="117"/>
    </row>
    <row r="9" spans="1:19" ht="18.75" customHeight="1" x14ac:dyDescent="0.25">
      <c r="B9" s="112" t="s">
        <v>117</v>
      </c>
      <c r="C9" s="113" t="s">
        <v>118</v>
      </c>
      <c r="D9" s="114"/>
      <c r="E9" s="115"/>
      <c r="F9" s="117"/>
      <c r="G9" s="117"/>
      <c r="H9" s="117"/>
    </row>
    <row r="10" spans="1:19" ht="18.75" customHeight="1" x14ac:dyDescent="0.25">
      <c r="B10" s="112" t="s">
        <v>119</v>
      </c>
      <c r="C10" s="113" t="s">
        <v>120</v>
      </c>
      <c r="D10" s="114"/>
      <c r="E10" s="115"/>
      <c r="F10" s="116"/>
      <c r="G10" s="116"/>
      <c r="H10" s="116"/>
    </row>
    <row r="11" spans="1:19" ht="18.75" customHeight="1" x14ac:dyDescent="0.25">
      <c r="B11" s="112" t="s">
        <v>121</v>
      </c>
      <c r="C11" s="113" t="s">
        <v>122</v>
      </c>
      <c r="D11" s="114"/>
      <c r="E11" s="115"/>
      <c r="F11" s="117"/>
      <c r="G11" s="117"/>
      <c r="H11" s="117"/>
    </row>
    <row r="12" spans="1:19" ht="18.75" customHeight="1" thickBot="1" x14ac:dyDescent="0.3">
      <c r="B12" s="118" t="s">
        <v>123</v>
      </c>
      <c r="C12" s="119">
        <v>100000</v>
      </c>
      <c r="D12" s="120"/>
      <c r="E12" s="121"/>
      <c r="F12" s="122"/>
      <c r="G12" s="122"/>
      <c r="H12" s="122"/>
    </row>
    <row r="13" spans="1:19" ht="18.75" customHeight="1" thickBot="1" x14ac:dyDescent="0.3">
      <c r="B13" s="123" t="s">
        <v>124</v>
      </c>
      <c r="C13" s="124" t="s">
        <v>125</v>
      </c>
      <c r="D13" s="125" t="s">
        <v>126</v>
      </c>
      <c r="E13" s="126" t="s">
        <v>127</v>
      </c>
      <c r="F13" s="122"/>
      <c r="G13" s="122"/>
      <c r="H13" s="122"/>
    </row>
    <row r="14" spans="1:19" ht="18.75" customHeight="1" x14ac:dyDescent="0.25">
      <c r="B14" s="123"/>
      <c r="C14" s="127" t="s">
        <v>128</v>
      </c>
      <c r="D14" s="128" t="s">
        <v>129</v>
      </c>
      <c r="E14" s="129">
        <v>10000</v>
      </c>
      <c r="F14" s="130"/>
      <c r="G14" s="130"/>
      <c r="H14" s="130"/>
    </row>
    <row r="15" spans="1:19" ht="18.75" customHeight="1" x14ac:dyDescent="0.25">
      <c r="B15" s="123"/>
      <c r="C15" s="127"/>
      <c r="D15" s="128" t="s">
        <v>130</v>
      </c>
      <c r="E15" s="129">
        <v>50000</v>
      </c>
      <c r="F15" s="130"/>
      <c r="G15" s="130"/>
      <c r="H15" s="130"/>
    </row>
    <row r="16" spans="1:19" ht="18.75" customHeight="1" x14ac:dyDescent="0.25">
      <c r="B16" s="123"/>
      <c r="C16" s="127"/>
      <c r="D16" s="128"/>
      <c r="E16" s="131"/>
      <c r="F16" s="130"/>
      <c r="G16" s="130"/>
      <c r="H16" s="130"/>
    </row>
    <row r="17" spans="1:8" ht="18.75" customHeight="1" x14ac:dyDescent="0.25">
      <c r="B17" s="112" t="s">
        <v>131</v>
      </c>
      <c r="C17" s="132">
        <f>SUM(E14:E16)</f>
        <v>60000</v>
      </c>
      <c r="D17" s="114"/>
      <c r="E17" s="115"/>
      <c r="F17" s="122"/>
      <c r="G17" s="122"/>
      <c r="H17" s="122"/>
    </row>
    <row r="18" spans="1:8" ht="18.75" customHeight="1" x14ac:dyDescent="0.25">
      <c r="B18" s="112" t="s">
        <v>132</v>
      </c>
      <c r="C18" s="133">
        <f>+C17/C12</f>
        <v>0.6</v>
      </c>
      <c r="D18" s="134"/>
      <c r="E18" s="135"/>
      <c r="F18" s="136"/>
      <c r="G18" s="136"/>
      <c r="H18" s="136"/>
    </row>
    <row r="19" spans="1:8" ht="18.75" customHeight="1" x14ac:dyDescent="0.25">
      <c r="B19" s="112" t="s">
        <v>133</v>
      </c>
      <c r="C19" s="113">
        <v>1</v>
      </c>
      <c r="D19" s="114"/>
      <c r="E19" s="115"/>
      <c r="F19" s="116"/>
      <c r="G19" s="116"/>
      <c r="H19" s="116"/>
    </row>
    <row r="20" spans="1:8" ht="18.75" customHeight="1" x14ac:dyDescent="0.25">
      <c r="B20" s="108" t="s">
        <v>134</v>
      </c>
      <c r="C20" s="137" t="s">
        <v>135</v>
      </c>
      <c r="D20" s="138"/>
      <c r="E20" s="139"/>
      <c r="F20" s="116"/>
      <c r="G20" s="116"/>
      <c r="H20" s="116"/>
    </row>
    <row r="21" spans="1:8" ht="18.75" customHeight="1" x14ac:dyDescent="0.25">
      <c r="B21" s="108"/>
      <c r="C21" s="137" t="s">
        <v>136</v>
      </c>
      <c r="D21" s="140" t="s">
        <v>137</v>
      </c>
      <c r="E21" s="139"/>
      <c r="F21" s="116"/>
      <c r="G21" s="116"/>
      <c r="H21" s="116"/>
    </row>
    <row r="22" spans="1:8" ht="18.75" customHeight="1" x14ac:dyDescent="0.25">
      <c r="B22" s="108"/>
      <c r="C22" s="137" t="s">
        <v>138</v>
      </c>
      <c r="D22" s="138"/>
      <c r="E22" s="139"/>
      <c r="F22" s="116"/>
      <c r="G22" s="116"/>
      <c r="H22" s="116"/>
    </row>
    <row r="23" spans="1:8" ht="18.75" customHeight="1" x14ac:dyDescent="0.25">
      <c r="B23" s="112" t="s">
        <v>139</v>
      </c>
      <c r="C23" s="141" t="s">
        <v>140</v>
      </c>
      <c r="D23" s="142"/>
      <c r="E23" s="143"/>
      <c r="F23" s="116"/>
      <c r="G23" s="116"/>
      <c r="H23" s="116"/>
    </row>
    <row r="24" spans="1:8" ht="18.75" customHeight="1" x14ac:dyDescent="0.25">
      <c r="B24" s="112" t="s">
        <v>82</v>
      </c>
      <c r="C24" s="141" t="s">
        <v>141</v>
      </c>
      <c r="D24" s="142"/>
      <c r="E24" s="143"/>
      <c r="F24" s="116"/>
      <c r="G24" s="116"/>
      <c r="H24" s="116"/>
    </row>
    <row r="25" spans="1:8" ht="18.75" customHeight="1" thickBot="1" x14ac:dyDescent="0.3">
      <c r="B25" s="144" t="s">
        <v>142</v>
      </c>
      <c r="C25" s="145">
        <v>4</v>
      </c>
      <c r="D25" s="146"/>
      <c r="E25" s="139" t="s">
        <v>143</v>
      </c>
      <c r="F25" s="116"/>
      <c r="G25" s="116"/>
      <c r="H25" s="116"/>
    </row>
    <row r="26" spans="1:8" ht="48.75" x14ac:dyDescent="0.25">
      <c r="A26" s="102" t="s">
        <v>144</v>
      </c>
      <c r="B26" s="147" t="s">
        <v>145</v>
      </c>
      <c r="C26" s="148" t="s">
        <v>146</v>
      </c>
      <c r="D26" s="149"/>
      <c r="E26" s="150"/>
      <c r="F26" s="116"/>
      <c r="G26" s="116"/>
      <c r="H26" s="116"/>
    </row>
    <row r="27" spans="1:8" ht="15.75" x14ac:dyDescent="0.25">
      <c r="B27" s="151" t="s">
        <v>147</v>
      </c>
      <c r="C27" s="152">
        <v>520</v>
      </c>
      <c r="D27" s="142"/>
      <c r="E27" s="143"/>
      <c r="F27" s="153"/>
      <c r="G27" s="153"/>
      <c r="H27" s="153"/>
    </row>
    <row r="28" spans="1:8" ht="22.5" customHeight="1" x14ac:dyDescent="0.25">
      <c r="A28" s="102" t="s">
        <v>148</v>
      </c>
      <c r="B28" s="151" t="s">
        <v>149</v>
      </c>
      <c r="C28" s="152" t="s">
        <v>150</v>
      </c>
      <c r="D28" s="142"/>
      <c r="E28" s="143"/>
      <c r="F28" s="153"/>
      <c r="G28" s="153"/>
      <c r="H28" s="153"/>
    </row>
    <row r="29" spans="1:8" ht="64.5" x14ac:dyDescent="0.25">
      <c r="A29" s="102" t="s">
        <v>151</v>
      </c>
      <c r="B29" s="151" t="s">
        <v>152</v>
      </c>
      <c r="C29" s="152" t="s">
        <v>153</v>
      </c>
      <c r="D29" s="142"/>
      <c r="E29" s="143"/>
      <c r="F29" s="154"/>
      <c r="G29" s="154"/>
      <c r="H29" s="154"/>
    </row>
    <row r="30" spans="1:8" ht="15.75" x14ac:dyDescent="0.25">
      <c r="B30" s="155" t="s">
        <v>154</v>
      </c>
      <c r="C30" s="156" t="s">
        <v>155</v>
      </c>
      <c r="D30" s="157"/>
      <c r="E30" s="158"/>
      <c r="F30" s="159"/>
      <c r="G30" s="159"/>
      <c r="H30" s="159"/>
    </row>
    <row r="31" spans="1:8" ht="16.5" thickBot="1" x14ac:dyDescent="0.3">
      <c r="B31" s="160"/>
      <c r="C31" s="156" t="s">
        <v>156</v>
      </c>
      <c r="D31" s="161" t="s">
        <v>137</v>
      </c>
      <c r="E31" s="158"/>
      <c r="F31" s="159"/>
      <c r="G31" s="159"/>
      <c r="H31" s="159"/>
    </row>
    <row r="32" spans="1:8" ht="15.75" x14ac:dyDescent="0.25">
      <c r="B32" s="162" t="s">
        <v>157</v>
      </c>
      <c r="C32" s="163" t="s">
        <v>158</v>
      </c>
      <c r="D32" s="164"/>
      <c r="E32" s="165" t="s">
        <v>159</v>
      </c>
      <c r="F32" s="166"/>
      <c r="G32" s="166"/>
      <c r="H32" s="166"/>
    </row>
    <row r="33" spans="1:8" ht="96" x14ac:dyDescent="0.25">
      <c r="A33" s="102" t="s">
        <v>160</v>
      </c>
      <c r="B33" s="167" t="s">
        <v>161</v>
      </c>
      <c r="C33" s="168" t="s">
        <v>162</v>
      </c>
      <c r="D33" s="169"/>
      <c r="E33" s="165"/>
      <c r="F33" s="170"/>
      <c r="G33" s="170"/>
      <c r="H33" s="170"/>
    </row>
    <row r="34" spans="1:8" ht="15.75" x14ac:dyDescent="0.25">
      <c r="B34" s="171" t="s">
        <v>157</v>
      </c>
      <c r="C34" s="172" t="s">
        <v>163</v>
      </c>
      <c r="D34" s="173"/>
      <c r="E34" s="174" t="s">
        <v>164</v>
      </c>
      <c r="F34" s="166"/>
      <c r="G34" s="166"/>
      <c r="H34" s="166"/>
    </row>
    <row r="35" spans="1:8" ht="65.25" thickBot="1" x14ac:dyDescent="0.3">
      <c r="A35" s="102" t="s">
        <v>165</v>
      </c>
      <c r="B35" s="175" t="s">
        <v>166</v>
      </c>
      <c r="C35" s="176" t="s">
        <v>167</v>
      </c>
      <c r="D35" s="177"/>
      <c r="E35" s="178"/>
      <c r="F35" s="170"/>
      <c r="G35" s="170"/>
      <c r="H35" s="170"/>
    </row>
  </sheetData>
  <mergeCells count="33">
    <mergeCell ref="C34:D34"/>
    <mergeCell ref="E34:E35"/>
    <mergeCell ref="C35:D35"/>
    <mergeCell ref="C28:E28"/>
    <mergeCell ref="C29:E29"/>
    <mergeCell ref="B30:B31"/>
    <mergeCell ref="C32:D32"/>
    <mergeCell ref="E32:E33"/>
    <mergeCell ref="C33:D33"/>
    <mergeCell ref="B20:B22"/>
    <mergeCell ref="C23:E23"/>
    <mergeCell ref="C24:E24"/>
    <mergeCell ref="C25:D25"/>
    <mergeCell ref="C26:E26"/>
    <mergeCell ref="C27:E27"/>
    <mergeCell ref="C11:E11"/>
    <mergeCell ref="C12:E12"/>
    <mergeCell ref="B13:B16"/>
    <mergeCell ref="C17:E17"/>
    <mergeCell ref="C18:E18"/>
    <mergeCell ref="C19:E19"/>
    <mergeCell ref="C5:E5"/>
    <mergeCell ref="C6:E6"/>
    <mergeCell ref="C7:E7"/>
    <mergeCell ref="C8:E8"/>
    <mergeCell ref="C9:E9"/>
    <mergeCell ref="C10:E10"/>
    <mergeCell ref="C1:D1"/>
    <mergeCell ref="E1:E2"/>
    <mergeCell ref="C2:D2"/>
    <mergeCell ref="B3:B4"/>
    <mergeCell ref="D3:E3"/>
    <mergeCell ref="D4:E4"/>
  </mergeCells>
  <pageMargins left="0.52" right="0.70866141732283472" top="0.43" bottom="0.74803149606299213" header="0.31496062992125984" footer="0.31496062992125984"/>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90F00-6DA0-4818-BE37-BA0158BA4C59}">
  <sheetPr>
    <tabColor rgb="FF00B0F0"/>
  </sheetPr>
  <dimension ref="A1:R75"/>
  <sheetViews>
    <sheetView tabSelected="1" view="pageBreakPreview" zoomScaleNormal="110" zoomScaleSheetLayoutView="100" workbookViewId="0">
      <selection activeCell="G41" sqref="G41"/>
    </sheetView>
  </sheetViews>
  <sheetFormatPr baseColWidth="10" defaultRowHeight="15" x14ac:dyDescent="0.25"/>
  <cols>
    <col min="1" max="1" width="1.7109375" style="1" customWidth="1"/>
    <col min="2" max="2" width="2.7109375" customWidth="1"/>
    <col min="3" max="3" width="19.28515625" customWidth="1"/>
    <col min="4" max="4" width="67.710937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7.140625" customWidth="1"/>
  </cols>
  <sheetData>
    <row r="1" spans="1:17" ht="21" x14ac:dyDescent="0.35">
      <c r="D1" s="88" t="s">
        <v>106</v>
      </c>
      <c r="E1" s="88"/>
      <c r="F1" s="88"/>
      <c r="G1" s="88"/>
      <c r="H1" s="88"/>
      <c r="I1" s="88"/>
      <c r="J1" s="88"/>
      <c r="K1" s="88"/>
      <c r="L1" s="88"/>
      <c r="M1" s="88"/>
      <c r="N1" s="88"/>
      <c r="O1" s="88"/>
      <c r="P1" s="88"/>
    </row>
    <row r="2" spans="1:17" ht="21" x14ac:dyDescent="0.35">
      <c r="D2" s="88" t="s">
        <v>105</v>
      </c>
      <c r="E2" s="88"/>
      <c r="F2" s="88"/>
      <c r="G2" s="88"/>
      <c r="H2" s="88"/>
      <c r="I2" s="88"/>
      <c r="J2" s="88"/>
      <c r="K2" s="88"/>
      <c r="L2" s="88"/>
      <c r="M2" s="88"/>
      <c r="N2" s="88"/>
      <c r="O2" s="88"/>
      <c r="P2" s="88"/>
      <c r="Q2" s="87" t="s">
        <v>104</v>
      </c>
    </row>
    <row r="3" spans="1:17" ht="9" customHeight="1" x14ac:dyDescent="0.3">
      <c r="D3" s="86"/>
      <c r="E3" s="86"/>
      <c r="F3" s="86"/>
      <c r="G3" s="86"/>
      <c r="H3" s="86"/>
      <c r="I3" s="86"/>
      <c r="J3" s="86"/>
      <c r="K3" s="86"/>
      <c r="L3" s="86"/>
      <c r="M3" s="86"/>
      <c r="N3" s="86"/>
      <c r="O3" s="86"/>
      <c r="P3" s="84" t="s">
        <v>103</v>
      </c>
      <c r="Q3" s="85"/>
    </row>
    <row r="4" spans="1:17" s="2" customFormat="1" ht="15.75" customHeight="1" x14ac:dyDescent="0.25">
      <c r="A4" s="3"/>
      <c r="B4" s="73" t="s">
        <v>102</v>
      </c>
      <c r="C4" s="73"/>
      <c r="D4" s="2" t="s">
        <v>101</v>
      </c>
      <c r="P4" s="84"/>
      <c r="Q4" s="83"/>
    </row>
    <row r="5" spans="1:17" s="2" customFormat="1" ht="15.75" customHeight="1" thickBot="1" x14ac:dyDescent="0.3">
      <c r="A5" s="3"/>
      <c r="B5" s="73" t="s">
        <v>100</v>
      </c>
      <c r="C5" s="73"/>
      <c r="D5" s="2" t="s">
        <v>99</v>
      </c>
      <c r="H5" s="81" t="s">
        <v>98</v>
      </c>
      <c r="I5" s="81"/>
      <c r="J5" s="81"/>
      <c r="K5" s="81"/>
      <c r="L5" s="82"/>
      <c r="M5" s="82" t="s">
        <v>73</v>
      </c>
      <c r="N5" s="81"/>
      <c r="O5" s="81"/>
      <c r="P5" s="81"/>
    </row>
    <row r="6" spans="1:17" s="2" customFormat="1" ht="15.75" x14ac:dyDescent="0.25">
      <c r="A6" s="3"/>
      <c r="B6" s="73" t="s">
        <v>97</v>
      </c>
      <c r="C6" s="73"/>
      <c r="D6" s="72" t="s">
        <v>96</v>
      </c>
      <c r="H6" s="80" t="s">
        <v>95</v>
      </c>
      <c r="I6" s="80"/>
      <c r="J6" s="80"/>
      <c r="K6" s="80"/>
      <c r="L6" s="79"/>
      <c r="M6" s="79"/>
      <c r="N6" s="78" t="s">
        <v>94</v>
      </c>
      <c r="O6" s="77"/>
      <c r="P6" s="77"/>
      <c r="Q6" s="76" t="s">
        <v>93</v>
      </c>
    </row>
    <row r="7" spans="1:17" s="2" customFormat="1" ht="15.75" x14ac:dyDescent="0.25">
      <c r="A7" s="3"/>
      <c r="B7" s="73" t="s">
        <v>92</v>
      </c>
      <c r="C7" s="73"/>
      <c r="D7" s="2" t="s">
        <v>91</v>
      </c>
      <c r="E7" s="72" t="s">
        <v>87</v>
      </c>
      <c r="H7" s="70">
        <v>45162</v>
      </c>
      <c r="I7" s="71"/>
      <c r="J7" s="71"/>
      <c r="K7" s="71"/>
      <c r="L7" s="70">
        <v>45162</v>
      </c>
      <c r="M7" s="70"/>
      <c r="N7" s="75"/>
      <c r="O7" s="71"/>
      <c r="P7" s="71"/>
      <c r="Q7" s="74" t="s">
        <v>90</v>
      </c>
    </row>
    <row r="8" spans="1:17" s="2" customFormat="1" ht="16.5" thickBot="1" x14ac:dyDescent="0.3">
      <c r="A8" s="3"/>
      <c r="B8" s="73" t="s">
        <v>89</v>
      </c>
      <c r="C8" s="73"/>
      <c r="D8" s="2" t="s">
        <v>88</v>
      </c>
      <c r="E8" s="72" t="s">
        <v>87</v>
      </c>
      <c r="H8" s="70">
        <f>+H7+20</f>
        <v>45182</v>
      </c>
      <c r="I8" s="71"/>
      <c r="J8" s="71"/>
      <c r="K8" s="71"/>
      <c r="L8" s="70">
        <f>+L7+1</f>
        <v>45163</v>
      </c>
      <c r="M8" s="70"/>
      <c r="N8" s="69"/>
      <c r="O8" s="68"/>
      <c r="P8" s="68"/>
      <c r="Q8" s="67"/>
    </row>
    <row r="9" spans="1:17" s="2" customFormat="1" ht="33" x14ac:dyDescent="0.25">
      <c r="A9" s="3">
        <v>11</v>
      </c>
      <c r="B9" s="66" t="s">
        <v>86</v>
      </c>
      <c r="C9" s="66"/>
      <c r="D9" s="65" t="s">
        <v>85</v>
      </c>
      <c r="E9" s="65"/>
      <c r="F9" s="65"/>
      <c r="G9" s="65"/>
      <c r="H9" s="65"/>
      <c r="I9" s="65"/>
      <c r="J9" s="65"/>
      <c r="K9" s="65"/>
      <c r="L9" s="65"/>
      <c r="M9" s="65"/>
      <c r="N9" s="65"/>
      <c r="O9" s="65"/>
      <c r="P9" s="65"/>
      <c r="Q9" s="65"/>
    </row>
    <row r="10" spans="1:17" s="2" customFormat="1" ht="33" x14ac:dyDescent="0.25">
      <c r="A10" s="3">
        <v>11</v>
      </c>
      <c r="B10" s="66"/>
      <c r="C10" s="66"/>
      <c r="D10" s="65" t="s">
        <v>84</v>
      </c>
      <c r="E10" s="65"/>
      <c r="F10" s="65"/>
      <c r="G10" s="65"/>
      <c r="H10" s="65"/>
      <c r="I10" s="65"/>
      <c r="J10" s="65"/>
      <c r="K10" s="65"/>
      <c r="L10" s="65"/>
      <c r="M10" s="65"/>
      <c r="N10" s="65"/>
      <c r="O10" s="65"/>
      <c r="P10" s="65"/>
      <c r="Q10" s="65"/>
    </row>
    <row r="11" spans="1:17" s="2" customFormat="1" ht="15.75" x14ac:dyDescent="0.25">
      <c r="A11" s="58"/>
      <c r="B11" s="64"/>
      <c r="C11" s="64"/>
      <c r="D11" s="63" t="s">
        <v>83</v>
      </c>
      <c r="E11" s="62"/>
      <c r="F11" s="62"/>
      <c r="G11" s="62"/>
      <c r="H11" s="62"/>
      <c r="I11" s="62"/>
      <c r="J11" s="62"/>
      <c r="K11" s="62"/>
      <c r="L11" s="62"/>
      <c r="M11" s="62"/>
      <c r="N11" s="62"/>
      <c r="O11" s="62"/>
      <c r="P11" s="62"/>
    </row>
    <row r="12" spans="1:17" s="50" customFormat="1" ht="15" customHeight="1" x14ac:dyDescent="0.2">
      <c r="A12" s="58"/>
      <c r="B12" s="61" t="s">
        <v>82</v>
      </c>
      <c r="C12" s="61"/>
      <c r="D12" s="61"/>
      <c r="I12" s="60" t="s">
        <v>62</v>
      </c>
      <c r="N12" s="60" t="s">
        <v>81</v>
      </c>
    </row>
    <row r="13" spans="1:17" s="50" customFormat="1" ht="14.25" x14ac:dyDescent="0.2">
      <c r="A13" s="58"/>
      <c r="B13" s="51" t="s">
        <v>61</v>
      </c>
      <c r="C13" s="50" t="s">
        <v>80</v>
      </c>
      <c r="D13" s="50" t="s">
        <v>79</v>
      </c>
      <c r="E13" s="59" t="s">
        <v>78</v>
      </c>
      <c r="H13" s="56"/>
      <c r="I13" s="53" t="s">
        <v>77</v>
      </c>
      <c r="K13" s="56"/>
      <c r="L13" s="56"/>
      <c r="N13" s="54" t="s">
        <v>76</v>
      </c>
      <c r="O13" s="53"/>
    </row>
    <row r="14" spans="1:17" s="50" customFormat="1" ht="12.75" x14ac:dyDescent="0.2">
      <c r="A14" s="58"/>
      <c r="B14" s="51" t="s">
        <v>60</v>
      </c>
      <c r="C14" s="50" t="s">
        <v>75</v>
      </c>
      <c r="D14" s="50" t="s">
        <v>74</v>
      </c>
      <c r="H14" s="56"/>
      <c r="I14" s="53" t="s">
        <v>73</v>
      </c>
      <c r="J14" s="57"/>
      <c r="K14" s="56"/>
      <c r="L14" s="56"/>
      <c r="M14" s="55" t="s">
        <v>56</v>
      </c>
      <c r="N14" s="53" t="s">
        <v>72</v>
      </c>
      <c r="O14" s="53"/>
    </row>
    <row r="15" spans="1:17" s="50" customFormat="1" ht="12.75" x14ac:dyDescent="0.2">
      <c r="A15" s="58"/>
      <c r="B15" s="51" t="s">
        <v>56</v>
      </c>
      <c r="C15" s="50" t="s">
        <v>71</v>
      </c>
      <c r="D15" s="50" t="s">
        <v>70</v>
      </c>
      <c r="H15" s="56"/>
      <c r="I15" s="53" t="s">
        <v>48</v>
      </c>
      <c r="J15" s="57"/>
      <c r="K15" s="56"/>
      <c r="L15" s="56"/>
      <c r="M15" s="55" t="s">
        <v>55</v>
      </c>
      <c r="N15" s="53" t="s">
        <v>69</v>
      </c>
      <c r="O15" s="53"/>
    </row>
    <row r="16" spans="1:17" s="50" customFormat="1" ht="12.75" x14ac:dyDescent="0.2">
      <c r="A16" s="58"/>
      <c r="C16" s="51"/>
      <c r="D16" s="50" t="s">
        <v>68</v>
      </c>
      <c r="H16" s="56"/>
      <c r="I16" s="53"/>
      <c r="J16" s="57"/>
      <c r="K16" s="56"/>
      <c r="L16" s="56"/>
      <c r="M16" s="55" t="s">
        <v>54</v>
      </c>
      <c r="N16" s="54" t="s">
        <v>67</v>
      </c>
      <c r="O16" s="53"/>
    </row>
    <row r="17" spans="1:17" s="50" customFormat="1" ht="6.75" customHeight="1" thickBot="1" x14ac:dyDescent="0.25">
      <c r="A17" s="52"/>
      <c r="C17" s="51"/>
    </row>
    <row r="18" spans="1:17" ht="15.75" x14ac:dyDescent="0.25">
      <c r="C18" s="49" t="s">
        <v>66</v>
      </c>
      <c r="D18" s="48"/>
      <c r="E18" s="45" t="s">
        <v>65</v>
      </c>
      <c r="F18" s="44"/>
      <c r="G18" s="44"/>
      <c r="H18" s="44"/>
      <c r="I18" s="44"/>
      <c r="J18" s="44"/>
      <c r="K18" s="44"/>
      <c r="L18" s="47" t="s">
        <v>64</v>
      </c>
      <c r="M18" s="46"/>
      <c r="N18" s="45" t="s">
        <v>63</v>
      </c>
      <c r="O18" s="44"/>
      <c r="P18" s="44"/>
      <c r="Q18" s="43" t="s">
        <v>62</v>
      </c>
    </row>
    <row r="19" spans="1:17" ht="16.5" thickBot="1" x14ac:dyDescent="0.3">
      <c r="C19" s="42"/>
      <c r="D19" s="41"/>
      <c r="E19" s="38" t="s">
        <v>61</v>
      </c>
      <c r="F19" s="37" t="s">
        <v>60</v>
      </c>
      <c r="G19" s="37" t="s">
        <v>56</v>
      </c>
      <c r="H19" s="37" t="s">
        <v>59</v>
      </c>
      <c r="I19" s="37" t="s">
        <v>58</v>
      </c>
      <c r="J19" s="37" t="s">
        <v>57</v>
      </c>
      <c r="K19" s="37" t="s">
        <v>54</v>
      </c>
      <c r="L19" s="40"/>
      <c r="M19" s="39"/>
      <c r="N19" s="38" t="s">
        <v>56</v>
      </c>
      <c r="O19" s="37" t="s">
        <v>55</v>
      </c>
      <c r="P19" s="37" t="s">
        <v>54</v>
      </c>
      <c r="Q19" s="36"/>
    </row>
    <row r="20" spans="1:17" s="2" customFormat="1" ht="15.75" x14ac:dyDescent="0.25">
      <c r="A20" s="3"/>
      <c r="C20" s="35"/>
      <c r="D20" s="34"/>
      <c r="E20" s="31"/>
      <c r="F20" s="30"/>
      <c r="G20" s="30"/>
      <c r="H20" s="30"/>
      <c r="I20" s="30"/>
      <c r="J20" s="30"/>
      <c r="K20" s="30"/>
      <c r="L20" s="33"/>
      <c r="M20" s="32"/>
      <c r="N20" s="31"/>
      <c r="O20" s="30"/>
      <c r="P20" s="30"/>
      <c r="Q20" s="29"/>
    </row>
    <row r="21" spans="1:17" s="2" customFormat="1" ht="15.75" x14ac:dyDescent="0.25">
      <c r="A21" s="3"/>
      <c r="B21" s="2" t="s">
        <v>53</v>
      </c>
      <c r="C21" s="28" t="s">
        <v>52</v>
      </c>
      <c r="D21" s="27"/>
      <c r="E21" s="17"/>
      <c r="F21" s="16"/>
      <c r="G21" s="16"/>
      <c r="H21" s="16"/>
      <c r="I21" s="16"/>
      <c r="J21" s="16"/>
      <c r="K21" s="16"/>
      <c r="L21" s="19" t="s">
        <v>1</v>
      </c>
      <c r="M21" s="26">
        <v>1</v>
      </c>
      <c r="N21" s="17"/>
      <c r="O21" s="16"/>
      <c r="P21" s="16"/>
      <c r="Q21" s="15"/>
    </row>
    <row r="22" spans="1:17" s="2" customFormat="1" ht="15.75" x14ac:dyDescent="0.25">
      <c r="A22" s="3"/>
      <c r="B22" s="2" t="s">
        <v>51</v>
      </c>
      <c r="C22" s="21" t="s">
        <v>50</v>
      </c>
      <c r="D22" s="20"/>
      <c r="E22" s="17"/>
      <c r="F22" s="16"/>
      <c r="G22" s="16"/>
      <c r="H22" s="16"/>
      <c r="I22" s="16"/>
      <c r="J22" s="16"/>
      <c r="K22" s="16"/>
      <c r="L22" s="19" t="s">
        <v>1</v>
      </c>
      <c r="M22" s="18"/>
      <c r="N22" s="17"/>
      <c r="O22" s="16"/>
      <c r="P22" s="16"/>
      <c r="Q22" s="25"/>
    </row>
    <row r="23" spans="1:17" s="2" customFormat="1" ht="15.75" customHeight="1" x14ac:dyDescent="0.25">
      <c r="A23" s="3"/>
      <c r="B23" s="2" t="s">
        <v>45</v>
      </c>
      <c r="C23" s="23" t="s">
        <v>49</v>
      </c>
      <c r="D23" s="22"/>
      <c r="E23" s="17"/>
      <c r="F23" s="16"/>
      <c r="G23" s="16"/>
      <c r="H23" s="16"/>
      <c r="I23" s="16"/>
      <c r="J23" s="16"/>
      <c r="K23" s="16"/>
      <c r="L23" s="24"/>
      <c r="M23" s="18"/>
      <c r="N23" s="17"/>
      <c r="O23" s="16"/>
      <c r="P23" s="16"/>
      <c r="Q23" s="15" t="s">
        <v>48</v>
      </c>
    </row>
    <row r="24" spans="1:17" s="2" customFormat="1" ht="17.25" x14ac:dyDescent="0.25">
      <c r="A24" s="3">
        <v>1</v>
      </c>
      <c r="C24" s="21" t="s">
        <v>47</v>
      </c>
      <c r="D24" s="20"/>
      <c r="E24" s="17"/>
      <c r="F24" s="16"/>
      <c r="G24" s="16"/>
      <c r="H24" s="16"/>
      <c r="I24" s="16"/>
      <c r="J24" s="16"/>
      <c r="K24" s="16"/>
      <c r="L24" s="19" t="s">
        <v>1</v>
      </c>
      <c r="M24" s="18"/>
      <c r="N24" s="17"/>
      <c r="O24" s="16"/>
      <c r="P24" s="16"/>
      <c r="Q24" s="15"/>
    </row>
    <row r="25" spans="1:17" s="2" customFormat="1" ht="33" x14ac:dyDescent="0.25">
      <c r="A25" s="3">
        <v>11</v>
      </c>
      <c r="C25" s="21" t="s">
        <v>46</v>
      </c>
      <c r="D25" s="20"/>
      <c r="E25" s="17"/>
      <c r="F25" s="16"/>
      <c r="G25" s="16"/>
      <c r="H25" s="16"/>
      <c r="I25" s="16"/>
      <c r="J25" s="16"/>
      <c r="K25" s="16"/>
      <c r="L25" s="19" t="s">
        <v>1</v>
      </c>
      <c r="M25" s="18"/>
      <c r="N25" s="17"/>
      <c r="O25" s="16"/>
      <c r="P25" s="16"/>
      <c r="Q25" s="15"/>
    </row>
    <row r="26" spans="1:17" s="2" customFormat="1" ht="33" x14ac:dyDescent="0.25">
      <c r="A26" s="3">
        <v>11</v>
      </c>
      <c r="B26" s="2" t="s">
        <v>45</v>
      </c>
      <c r="C26" s="21" t="s">
        <v>44</v>
      </c>
      <c r="D26" s="20"/>
      <c r="E26" s="17"/>
      <c r="F26" s="16"/>
      <c r="G26" s="16"/>
      <c r="H26" s="16"/>
      <c r="I26" s="16"/>
      <c r="J26" s="16"/>
      <c r="K26" s="16"/>
      <c r="L26" s="24"/>
      <c r="M26" s="18"/>
      <c r="N26" s="17"/>
      <c r="O26" s="16"/>
      <c r="P26" s="16"/>
      <c r="Q26" s="15"/>
    </row>
    <row r="27" spans="1:17" s="2" customFormat="1" ht="15.75" x14ac:dyDescent="0.25">
      <c r="A27" s="3"/>
      <c r="C27" s="23" t="s">
        <v>43</v>
      </c>
      <c r="D27" s="22"/>
      <c r="E27" s="17"/>
      <c r="F27" s="16"/>
      <c r="G27" s="16"/>
      <c r="H27" s="16"/>
      <c r="I27" s="16"/>
      <c r="J27" s="16"/>
      <c r="K27" s="16"/>
      <c r="L27" s="24"/>
      <c r="M27" s="18"/>
      <c r="N27" s="17"/>
      <c r="O27" s="16"/>
      <c r="P27" s="16"/>
      <c r="Q27" s="15"/>
    </row>
    <row r="28" spans="1:17" s="2" customFormat="1" ht="33" x14ac:dyDescent="0.25">
      <c r="A28" s="3">
        <v>11</v>
      </c>
      <c r="C28" s="21" t="s">
        <v>42</v>
      </c>
      <c r="D28" s="20"/>
      <c r="E28" s="17"/>
      <c r="F28" s="16"/>
      <c r="G28" s="16"/>
      <c r="H28" s="16"/>
      <c r="I28" s="16"/>
      <c r="J28" s="16"/>
      <c r="K28" s="16"/>
      <c r="L28" s="19" t="s">
        <v>1</v>
      </c>
      <c r="M28" s="18"/>
      <c r="N28" s="17"/>
      <c r="O28" s="16"/>
      <c r="P28" s="16"/>
      <c r="Q28" s="15"/>
    </row>
    <row r="29" spans="1:17" s="2" customFormat="1" ht="15.75" customHeight="1" x14ac:dyDescent="0.25">
      <c r="A29" s="3"/>
      <c r="C29" s="21" t="s">
        <v>41</v>
      </c>
      <c r="D29" s="20"/>
      <c r="E29" s="17"/>
      <c r="F29" s="16"/>
      <c r="G29" s="16"/>
      <c r="H29" s="16"/>
      <c r="I29" s="16"/>
      <c r="J29" s="16"/>
      <c r="K29" s="16"/>
      <c r="L29" s="19" t="s">
        <v>1</v>
      </c>
      <c r="M29" s="18"/>
      <c r="N29" s="17"/>
      <c r="O29" s="16"/>
      <c r="P29" s="16"/>
      <c r="Q29" s="15"/>
    </row>
    <row r="30" spans="1:17" s="2" customFormat="1" ht="17.25" x14ac:dyDescent="0.25">
      <c r="A30" s="3">
        <v>1</v>
      </c>
      <c r="C30" s="21" t="s">
        <v>40</v>
      </c>
      <c r="D30" s="20"/>
      <c r="E30" s="17"/>
      <c r="F30" s="16"/>
      <c r="G30" s="16"/>
      <c r="H30" s="16"/>
      <c r="I30" s="16"/>
      <c r="J30" s="16"/>
      <c r="K30" s="16"/>
      <c r="L30" s="19" t="s">
        <v>1</v>
      </c>
      <c r="M30" s="18"/>
      <c r="N30" s="17"/>
      <c r="O30" s="16"/>
      <c r="P30" s="16"/>
      <c r="Q30" s="15"/>
    </row>
    <row r="31" spans="1:17" s="2" customFormat="1" ht="17.25" x14ac:dyDescent="0.25">
      <c r="A31" s="3">
        <v>1</v>
      </c>
      <c r="C31" s="21" t="s">
        <v>39</v>
      </c>
      <c r="D31" s="20"/>
      <c r="E31" s="17"/>
      <c r="F31" s="16"/>
      <c r="G31" s="16"/>
      <c r="H31" s="16"/>
      <c r="I31" s="16"/>
      <c r="J31" s="16"/>
      <c r="K31" s="16"/>
      <c r="L31" s="19" t="s">
        <v>1</v>
      </c>
      <c r="M31" s="18"/>
      <c r="N31" s="17"/>
      <c r="O31" s="16"/>
      <c r="P31" s="16"/>
      <c r="Q31" s="15"/>
    </row>
    <row r="32" spans="1:17" s="2" customFormat="1" ht="33" x14ac:dyDescent="0.25">
      <c r="A32" s="3">
        <v>11</v>
      </c>
      <c r="C32" s="21" t="s">
        <v>38</v>
      </c>
      <c r="D32" s="20"/>
      <c r="E32" s="17"/>
      <c r="F32" s="16"/>
      <c r="G32" s="16"/>
      <c r="H32" s="16"/>
      <c r="I32" s="16"/>
      <c r="J32" s="16"/>
      <c r="K32" s="16"/>
      <c r="L32" s="19" t="s">
        <v>1</v>
      </c>
      <c r="M32" s="18"/>
      <c r="N32" s="17"/>
      <c r="O32" s="16"/>
      <c r="P32" s="16"/>
      <c r="Q32" s="15"/>
    </row>
    <row r="33" spans="1:17" s="2" customFormat="1" ht="17.25" x14ac:dyDescent="0.25">
      <c r="A33" s="3">
        <v>1</v>
      </c>
      <c r="C33" s="21" t="s">
        <v>37</v>
      </c>
      <c r="D33" s="20"/>
      <c r="E33" s="17"/>
      <c r="F33" s="16"/>
      <c r="G33" s="16"/>
      <c r="H33" s="16"/>
      <c r="I33" s="16"/>
      <c r="J33" s="16"/>
      <c r="K33" s="16"/>
      <c r="L33" s="19" t="s">
        <v>1</v>
      </c>
      <c r="M33" s="18"/>
      <c r="N33" s="17"/>
      <c r="O33" s="16"/>
      <c r="P33" s="16"/>
      <c r="Q33" s="15"/>
    </row>
    <row r="34" spans="1:17" s="2" customFormat="1" ht="33" customHeight="1" x14ac:dyDescent="0.25">
      <c r="A34" s="3">
        <v>11</v>
      </c>
      <c r="C34" s="21" t="s">
        <v>36</v>
      </c>
      <c r="D34" s="20"/>
      <c r="E34" s="17"/>
      <c r="F34" s="16"/>
      <c r="G34" s="16"/>
      <c r="H34" s="16"/>
      <c r="I34" s="16"/>
      <c r="J34" s="16"/>
      <c r="K34" s="16"/>
      <c r="L34" s="19" t="s">
        <v>1</v>
      </c>
      <c r="M34" s="18"/>
      <c r="N34" s="17"/>
      <c r="O34" s="16"/>
      <c r="P34" s="16"/>
      <c r="Q34" s="15"/>
    </row>
    <row r="35" spans="1:17" s="2" customFormat="1" ht="15.75" x14ac:dyDescent="0.25">
      <c r="A35" s="3"/>
      <c r="C35" s="23" t="s">
        <v>35</v>
      </c>
      <c r="D35" s="22"/>
      <c r="E35" s="17"/>
      <c r="F35" s="16"/>
      <c r="G35" s="16"/>
      <c r="H35" s="16"/>
      <c r="I35" s="16"/>
      <c r="J35" s="16"/>
      <c r="K35" s="16"/>
      <c r="L35" s="19"/>
      <c r="M35" s="18"/>
      <c r="N35" s="17"/>
      <c r="O35" s="16"/>
      <c r="P35" s="16"/>
      <c r="Q35" s="15"/>
    </row>
    <row r="36" spans="1:17" s="2" customFormat="1" ht="33" x14ac:dyDescent="0.25">
      <c r="A36" s="3">
        <v>11</v>
      </c>
      <c r="C36" s="21" t="s">
        <v>34</v>
      </c>
      <c r="D36" s="20"/>
      <c r="E36" s="17"/>
      <c r="F36" s="16"/>
      <c r="G36" s="16"/>
      <c r="H36" s="16"/>
      <c r="I36" s="16"/>
      <c r="J36" s="16"/>
      <c r="K36" s="16"/>
      <c r="L36" s="19" t="s">
        <v>1</v>
      </c>
      <c r="M36" s="18"/>
      <c r="N36" s="17"/>
      <c r="O36" s="16"/>
      <c r="P36" s="16"/>
      <c r="Q36" s="15"/>
    </row>
    <row r="37" spans="1:17" s="2" customFormat="1" ht="33" x14ac:dyDescent="0.25">
      <c r="A37" s="3">
        <v>11</v>
      </c>
      <c r="C37" s="21" t="s">
        <v>33</v>
      </c>
      <c r="D37" s="20"/>
      <c r="E37" s="17"/>
      <c r="F37" s="16"/>
      <c r="G37" s="16"/>
      <c r="H37" s="16"/>
      <c r="I37" s="16"/>
      <c r="J37" s="16"/>
      <c r="K37" s="16"/>
      <c r="L37" s="19" t="s">
        <v>1</v>
      </c>
      <c r="M37" s="18"/>
      <c r="N37" s="17"/>
      <c r="O37" s="16"/>
      <c r="P37" s="16"/>
      <c r="Q37" s="15"/>
    </row>
    <row r="38" spans="1:17" s="2" customFormat="1" ht="33" x14ac:dyDescent="0.25">
      <c r="A38" s="3">
        <v>11</v>
      </c>
      <c r="C38" s="21" t="s">
        <v>32</v>
      </c>
      <c r="D38" s="20"/>
      <c r="E38" s="17"/>
      <c r="F38" s="16"/>
      <c r="G38" s="16"/>
      <c r="H38" s="16"/>
      <c r="I38" s="16"/>
      <c r="J38" s="16"/>
      <c r="K38" s="16"/>
      <c r="L38" s="19" t="s">
        <v>1</v>
      </c>
      <c r="M38" s="18"/>
      <c r="N38" s="17"/>
      <c r="O38" s="16"/>
      <c r="P38" s="16"/>
      <c r="Q38" s="15"/>
    </row>
    <row r="39" spans="1:17" s="2" customFormat="1" ht="33" x14ac:dyDescent="0.25">
      <c r="A39" s="3">
        <v>11</v>
      </c>
      <c r="B39" s="2" t="s">
        <v>31</v>
      </c>
      <c r="C39" s="21" t="s">
        <v>30</v>
      </c>
      <c r="D39" s="20"/>
      <c r="E39" s="17"/>
      <c r="F39" s="16"/>
      <c r="G39" s="16"/>
      <c r="H39" s="16"/>
      <c r="I39" s="16"/>
      <c r="J39" s="16"/>
      <c r="K39" s="16"/>
      <c r="L39" s="19" t="s">
        <v>1</v>
      </c>
      <c r="M39" s="18"/>
      <c r="N39" s="17"/>
      <c r="O39" s="16"/>
      <c r="P39" s="16"/>
      <c r="Q39" s="15"/>
    </row>
    <row r="40" spans="1:17" s="2" customFormat="1" ht="33" x14ac:dyDescent="0.25">
      <c r="A40" s="3">
        <v>11</v>
      </c>
      <c r="C40" s="21" t="s">
        <v>29</v>
      </c>
      <c r="D40" s="20"/>
      <c r="E40" s="17"/>
      <c r="F40" s="16"/>
      <c r="G40" s="16"/>
      <c r="H40" s="16"/>
      <c r="I40" s="16"/>
      <c r="J40" s="16"/>
      <c r="K40" s="16"/>
      <c r="L40" s="19" t="s">
        <v>1</v>
      </c>
      <c r="M40" s="18"/>
      <c r="N40" s="17"/>
      <c r="O40" s="16"/>
      <c r="P40" s="16"/>
      <c r="Q40" s="15"/>
    </row>
    <row r="41" spans="1:17" s="2" customFormat="1" ht="33" x14ac:dyDescent="0.25">
      <c r="A41" s="3">
        <v>11</v>
      </c>
      <c r="C41" s="21" t="s">
        <v>28</v>
      </c>
      <c r="D41" s="20"/>
      <c r="E41" s="17"/>
      <c r="F41" s="16"/>
      <c r="G41" s="16"/>
      <c r="H41" s="16"/>
      <c r="I41" s="16"/>
      <c r="J41" s="16"/>
      <c r="K41" s="16"/>
      <c r="L41" s="19" t="s">
        <v>1</v>
      </c>
      <c r="M41" s="18"/>
      <c r="N41" s="17"/>
      <c r="O41" s="16"/>
      <c r="P41" s="16"/>
      <c r="Q41" s="15"/>
    </row>
    <row r="42" spans="1:17" s="2" customFormat="1" ht="33" customHeight="1" x14ac:dyDescent="0.25">
      <c r="A42" s="3">
        <v>11</v>
      </c>
      <c r="C42" s="21" t="s">
        <v>27</v>
      </c>
      <c r="D42" s="20"/>
      <c r="E42" s="17"/>
      <c r="F42" s="16"/>
      <c r="G42" s="16"/>
      <c r="H42" s="16"/>
      <c r="I42" s="16"/>
      <c r="J42" s="16"/>
      <c r="K42" s="16"/>
      <c r="L42" s="19" t="s">
        <v>1</v>
      </c>
      <c r="M42" s="18"/>
      <c r="N42" s="17"/>
      <c r="O42" s="16"/>
      <c r="P42" s="16"/>
      <c r="Q42" s="15"/>
    </row>
    <row r="43" spans="1:17" s="2" customFormat="1" ht="17.25" x14ac:dyDescent="0.25">
      <c r="A43" s="3">
        <v>1</v>
      </c>
      <c r="C43" s="21" t="s">
        <v>26</v>
      </c>
      <c r="D43" s="20"/>
      <c r="E43" s="17"/>
      <c r="F43" s="16"/>
      <c r="G43" s="16"/>
      <c r="H43" s="16"/>
      <c r="I43" s="16"/>
      <c r="J43" s="16"/>
      <c r="K43" s="16"/>
      <c r="L43" s="19" t="s">
        <v>1</v>
      </c>
      <c r="M43" s="18"/>
      <c r="N43" s="17"/>
      <c r="O43" s="16"/>
      <c r="P43" s="16"/>
      <c r="Q43" s="15"/>
    </row>
    <row r="44" spans="1:17" s="2" customFormat="1" ht="15.75" x14ac:dyDescent="0.25">
      <c r="A44" s="3"/>
      <c r="C44" s="23" t="s">
        <v>25</v>
      </c>
      <c r="D44" s="22"/>
      <c r="E44" s="17"/>
      <c r="F44" s="16"/>
      <c r="G44" s="16"/>
      <c r="H44" s="16"/>
      <c r="I44" s="16"/>
      <c r="J44" s="16"/>
      <c r="K44" s="16"/>
      <c r="L44" s="19"/>
      <c r="M44" s="18"/>
      <c r="N44" s="17"/>
      <c r="O44" s="16"/>
      <c r="P44" s="16"/>
      <c r="Q44" s="15"/>
    </row>
    <row r="45" spans="1:17" s="2" customFormat="1" ht="17.25" x14ac:dyDescent="0.25">
      <c r="A45" s="3">
        <v>1</v>
      </c>
      <c r="C45" s="21" t="s">
        <v>24</v>
      </c>
      <c r="D45" s="20"/>
      <c r="E45" s="17"/>
      <c r="F45" s="16"/>
      <c r="G45" s="16"/>
      <c r="H45" s="16"/>
      <c r="I45" s="16"/>
      <c r="J45" s="16"/>
      <c r="K45" s="16"/>
      <c r="L45" s="19" t="s">
        <v>1</v>
      </c>
      <c r="M45" s="18"/>
      <c r="N45" s="17"/>
      <c r="O45" s="16"/>
      <c r="P45" s="16"/>
      <c r="Q45" s="15"/>
    </row>
    <row r="46" spans="1:17" s="2" customFormat="1" ht="33" x14ac:dyDescent="0.25">
      <c r="A46" s="3">
        <v>11</v>
      </c>
      <c r="C46" s="21" t="s">
        <v>23</v>
      </c>
      <c r="D46" s="20"/>
      <c r="E46" s="17"/>
      <c r="F46" s="16"/>
      <c r="G46" s="16"/>
      <c r="H46" s="16"/>
      <c r="I46" s="16"/>
      <c r="J46" s="16"/>
      <c r="K46" s="16"/>
      <c r="L46" s="19" t="s">
        <v>1</v>
      </c>
      <c r="M46" s="18"/>
      <c r="N46" s="17"/>
      <c r="O46" s="16"/>
      <c r="P46" s="16"/>
      <c r="Q46" s="15"/>
    </row>
    <row r="47" spans="1:17" s="2" customFormat="1" ht="17.25" x14ac:dyDescent="0.25">
      <c r="A47" s="3">
        <v>1</v>
      </c>
      <c r="C47" s="21" t="s">
        <v>22</v>
      </c>
      <c r="D47" s="20"/>
      <c r="E47" s="17"/>
      <c r="F47" s="16"/>
      <c r="G47" s="16"/>
      <c r="H47" s="16"/>
      <c r="I47" s="16"/>
      <c r="J47" s="16"/>
      <c r="K47" s="16"/>
      <c r="L47" s="19" t="s">
        <v>1</v>
      </c>
      <c r="M47" s="18"/>
      <c r="N47" s="17"/>
      <c r="O47" s="16"/>
      <c r="P47" s="16"/>
      <c r="Q47" s="15"/>
    </row>
    <row r="48" spans="1:17" s="2" customFormat="1" ht="17.25" x14ac:dyDescent="0.25">
      <c r="A48" s="3">
        <v>1</v>
      </c>
      <c r="C48" s="21" t="s">
        <v>21</v>
      </c>
      <c r="D48" s="20"/>
      <c r="E48" s="17"/>
      <c r="F48" s="16"/>
      <c r="G48" s="16"/>
      <c r="H48" s="16"/>
      <c r="I48" s="16"/>
      <c r="J48" s="16"/>
      <c r="K48" s="16"/>
      <c r="L48" s="19" t="s">
        <v>1</v>
      </c>
      <c r="M48" s="18"/>
      <c r="N48" s="17"/>
      <c r="O48" s="16"/>
      <c r="P48" s="16"/>
      <c r="Q48" s="15"/>
    </row>
    <row r="49" spans="1:17" s="2" customFormat="1" ht="17.25" x14ac:dyDescent="0.25">
      <c r="A49" s="3">
        <v>1</v>
      </c>
      <c r="C49" s="21" t="s">
        <v>20</v>
      </c>
      <c r="D49" s="20"/>
      <c r="E49" s="17"/>
      <c r="F49" s="16"/>
      <c r="G49" s="16"/>
      <c r="H49" s="16"/>
      <c r="I49" s="16"/>
      <c r="J49" s="16"/>
      <c r="K49" s="16"/>
      <c r="L49" s="19" t="s">
        <v>1</v>
      </c>
      <c r="M49" s="18"/>
      <c r="N49" s="17"/>
      <c r="O49" s="16"/>
      <c r="P49" s="16"/>
      <c r="Q49" s="15"/>
    </row>
    <row r="50" spans="1:17" s="2" customFormat="1" ht="17.25" x14ac:dyDescent="0.25">
      <c r="A50" s="3">
        <v>1</v>
      </c>
      <c r="C50" s="21" t="s">
        <v>19</v>
      </c>
      <c r="D50" s="20"/>
      <c r="E50" s="17"/>
      <c r="F50" s="16"/>
      <c r="G50" s="16"/>
      <c r="H50" s="16"/>
      <c r="I50" s="16"/>
      <c r="J50" s="16"/>
      <c r="K50" s="16"/>
      <c r="L50" s="19" t="s">
        <v>1</v>
      </c>
      <c r="M50" s="18"/>
      <c r="N50" s="17"/>
      <c r="O50" s="16"/>
      <c r="P50" s="16"/>
      <c r="Q50" s="15"/>
    </row>
    <row r="51" spans="1:17" s="2" customFormat="1" ht="17.25" x14ac:dyDescent="0.25">
      <c r="A51" s="3">
        <v>1</v>
      </c>
      <c r="C51" s="21" t="s">
        <v>18</v>
      </c>
      <c r="D51" s="20"/>
      <c r="E51" s="17"/>
      <c r="F51" s="16"/>
      <c r="G51" s="16"/>
      <c r="H51" s="16"/>
      <c r="I51" s="16"/>
      <c r="J51" s="16"/>
      <c r="K51" s="16"/>
      <c r="L51" s="19" t="s">
        <v>1</v>
      </c>
      <c r="M51" s="18"/>
      <c r="N51" s="17"/>
      <c r="O51" s="16"/>
      <c r="P51" s="16"/>
      <c r="Q51" s="15"/>
    </row>
    <row r="52" spans="1:17" s="2" customFormat="1" ht="15.75" x14ac:dyDescent="0.25">
      <c r="A52" s="3"/>
      <c r="C52" s="23" t="s">
        <v>17</v>
      </c>
      <c r="D52" s="22"/>
      <c r="E52" s="17"/>
      <c r="F52" s="16"/>
      <c r="G52" s="16"/>
      <c r="H52" s="16"/>
      <c r="I52" s="16"/>
      <c r="J52" s="16"/>
      <c r="K52" s="16"/>
      <c r="L52" s="19"/>
      <c r="M52" s="18"/>
      <c r="N52" s="17"/>
      <c r="O52" s="16"/>
      <c r="P52" s="16"/>
      <c r="Q52" s="15"/>
    </row>
    <row r="53" spans="1:17" s="2" customFormat="1" ht="17.25" x14ac:dyDescent="0.25">
      <c r="A53" s="3">
        <v>1</v>
      </c>
      <c r="C53" s="21" t="s">
        <v>16</v>
      </c>
      <c r="D53" s="20"/>
      <c r="E53" s="17"/>
      <c r="F53" s="16"/>
      <c r="G53" s="16"/>
      <c r="H53" s="16"/>
      <c r="I53" s="16"/>
      <c r="J53" s="16"/>
      <c r="K53" s="16"/>
      <c r="L53" s="19" t="s">
        <v>1</v>
      </c>
      <c r="M53" s="18"/>
      <c r="N53" s="17"/>
      <c r="O53" s="16"/>
      <c r="P53" s="16"/>
      <c r="Q53" s="15"/>
    </row>
    <row r="54" spans="1:17" s="2" customFormat="1" ht="17.25" customHeight="1" x14ac:dyDescent="0.25">
      <c r="A54" s="3">
        <v>1</v>
      </c>
      <c r="C54" s="21" t="s">
        <v>15</v>
      </c>
      <c r="D54" s="20"/>
      <c r="E54" s="17"/>
      <c r="F54" s="16"/>
      <c r="G54" s="16"/>
      <c r="H54" s="16"/>
      <c r="I54" s="16"/>
      <c r="J54" s="16"/>
      <c r="K54" s="16"/>
      <c r="L54" s="19" t="s">
        <v>1</v>
      </c>
      <c r="M54" s="18"/>
      <c r="N54" s="17"/>
      <c r="O54" s="16"/>
      <c r="P54" s="16"/>
      <c r="Q54" s="15"/>
    </row>
    <row r="55" spans="1:17" s="2" customFormat="1" ht="33" x14ac:dyDescent="0.25">
      <c r="A55" s="3">
        <v>11</v>
      </c>
      <c r="C55" s="21" t="s">
        <v>14</v>
      </c>
      <c r="D55" s="20"/>
      <c r="E55" s="17"/>
      <c r="F55" s="16"/>
      <c r="G55" s="16"/>
      <c r="H55" s="16"/>
      <c r="I55" s="16"/>
      <c r="J55" s="16"/>
      <c r="K55" s="16"/>
      <c r="L55" s="19" t="s">
        <v>1</v>
      </c>
      <c r="M55" s="18"/>
      <c r="N55" s="17"/>
      <c r="O55" s="16"/>
      <c r="P55" s="16"/>
      <c r="Q55" s="15"/>
    </row>
    <row r="56" spans="1:17" s="2" customFormat="1" ht="48.75" x14ac:dyDescent="0.25">
      <c r="A56" s="3">
        <v>111</v>
      </c>
      <c r="C56" s="21" t="s">
        <v>13</v>
      </c>
      <c r="D56" s="20"/>
      <c r="E56" s="17"/>
      <c r="F56" s="16"/>
      <c r="G56" s="16"/>
      <c r="H56" s="16"/>
      <c r="I56" s="16"/>
      <c r="J56" s="16"/>
      <c r="K56" s="16"/>
      <c r="L56" s="19" t="s">
        <v>1</v>
      </c>
      <c r="M56" s="18"/>
      <c r="N56" s="17"/>
      <c r="O56" s="16"/>
      <c r="P56" s="16"/>
      <c r="Q56" s="15"/>
    </row>
    <row r="57" spans="1:17" s="2" customFormat="1" ht="33" x14ac:dyDescent="0.25">
      <c r="A57" s="3">
        <v>11</v>
      </c>
      <c r="C57" s="21" t="s">
        <v>12</v>
      </c>
      <c r="D57" s="20"/>
      <c r="E57" s="17"/>
      <c r="F57" s="16"/>
      <c r="G57" s="16"/>
      <c r="H57" s="16"/>
      <c r="I57" s="16"/>
      <c r="J57" s="16"/>
      <c r="K57" s="16"/>
      <c r="L57" s="19" t="s">
        <v>1</v>
      </c>
      <c r="M57" s="18"/>
      <c r="N57" s="17"/>
      <c r="O57" s="16"/>
      <c r="P57" s="16"/>
      <c r="Q57" s="15"/>
    </row>
    <row r="58" spans="1:17" s="2" customFormat="1" ht="48.75" x14ac:dyDescent="0.25">
      <c r="A58" s="3">
        <v>111</v>
      </c>
      <c r="C58" s="21" t="s">
        <v>11</v>
      </c>
      <c r="D58" s="20"/>
      <c r="E58" s="17"/>
      <c r="F58" s="16"/>
      <c r="G58" s="16"/>
      <c r="H58" s="16"/>
      <c r="I58" s="16"/>
      <c r="J58" s="16"/>
      <c r="K58" s="16"/>
      <c r="L58" s="19" t="s">
        <v>1</v>
      </c>
      <c r="M58" s="18"/>
      <c r="N58" s="17"/>
      <c r="O58" s="16"/>
      <c r="P58" s="16"/>
      <c r="Q58" s="15"/>
    </row>
    <row r="59" spans="1:17" s="2" customFormat="1" ht="33" x14ac:dyDescent="0.25">
      <c r="A59" s="3">
        <v>11</v>
      </c>
      <c r="C59" s="21" t="s">
        <v>10</v>
      </c>
      <c r="D59" s="20"/>
      <c r="E59" s="17"/>
      <c r="F59" s="16"/>
      <c r="G59" s="16"/>
      <c r="H59" s="16"/>
      <c r="I59" s="16"/>
      <c r="J59" s="16"/>
      <c r="K59" s="16"/>
      <c r="L59" s="19" t="s">
        <v>1</v>
      </c>
      <c r="M59" s="18"/>
      <c r="N59" s="17"/>
      <c r="O59" s="16"/>
      <c r="P59" s="16"/>
      <c r="Q59" s="15"/>
    </row>
    <row r="60" spans="1:17" s="2" customFormat="1" ht="17.25" x14ac:dyDescent="0.25">
      <c r="A60" s="3">
        <v>1</v>
      </c>
      <c r="C60" s="23" t="s">
        <v>9</v>
      </c>
      <c r="D60" s="22"/>
      <c r="E60" s="17"/>
      <c r="F60" s="16"/>
      <c r="G60" s="16"/>
      <c r="H60" s="16"/>
      <c r="I60" s="16"/>
      <c r="J60" s="16"/>
      <c r="K60" s="16"/>
      <c r="L60" s="19" t="s">
        <v>1</v>
      </c>
      <c r="M60" s="18"/>
      <c r="N60" s="17"/>
      <c r="O60" s="16"/>
      <c r="P60" s="16"/>
      <c r="Q60" s="15"/>
    </row>
    <row r="61" spans="1:17" s="2" customFormat="1" ht="33" x14ac:dyDescent="0.25">
      <c r="A61" s="3">
        <v>11</v>
      </c>
      <c r="C61" s="21" t="s">
        <v>8</v>
      </c>
      <c r="D61" s="20"/>
      <c r="E61" s="17"/>
      <c r="F61" s="16"/>
      <c r="G61" s="16"/>
      <c r="H61" s="16"/>
      <c r="I61" s="16"/>
      <c r="J61" s="16"/>
      <c r="K61" s="16"/>
      <c r="L61" s="19" t="s">
        <v>1</v>
      </c>
      <c r="M61" s="18"/>
      <c r="N61" s="17"/>
      <c r="O61" s="16"/>
      <c r="P61" s="16"/>
      <c r="Q61" s="15"/>
    </row>
    <row r="62" spans="1:17" s="2" customFormat="1" ht="33" x14ac:dyDescent="0.25">
      <c r="A62" s="3">
        <v>11</v>
      </c>
      <c r="C62" s="21" t="s">
        <v>7</v>
      </c>
      <c r="D62" s="20"/>
      <c r="E62" s="17"/>
      <c r="F62" s="16"/>
      <c r="G62" s="16"/>
      <c r="H62" s="16"/>
      <c r="I62" s="16"/>
      <c r="J62" s="16"/>
      <c r="K62" s="16"/>
      <c r="L62" s="19" t="s">
        <v>1</v>
      </c>
      <c r="M62" s="18"/>
      <c r="N62" s="17"/>
      <c r="O62" s="16"/>
      <c r="P62" s="16"/>
      <c r="Q62" s="15"/>
    </row>
    <row r="63" spans="1:17" s="2" customFormat="1" ht="17.25" x14ac:dyDescent="0.25">
      <c r="A63" s="3">
        <v>1</v>
      </c>
      <c r="C63" s="21" t="s">
        <v>6</v>
      </c>
      <c r="D63" s="20"/>
      <c r="E63" s="17"/>
      <c r="F63" s="16"/>
      <c r="G63" s="16"/>
      <c r="H63" s="16"/>
      <c r="I63" s="16"/>
      <c r="J63" s="16"/>
      <c r="K63" s="16"/>
      <c r="L63" s="19"/>
      <c r="M63" s="18"/>
      <c r="N63" s="17"/>
      <c r="O63" s="16"/>
      <c r="P63" s="16"/>
      <c r="Q63" s="15"/>
    </row>
    <row r="64" spans="1:17" s="2" customFormat="1" ht="33" x14ac:dyDescent="0.25">
      <c r="A64" s="3">
        <v>11</v>
      </c>
      <c r="C64" s="21" t="s">
        <v>5</v>
      </c>
      <c r="D64" s="20"/>
      <c r="E64" s="17"/>
      <c r="F64" s="16"/>
      <c r="G64" s="16"/>
      <c r="H64" s="16"/>
      <c r="I64" s="16"/>
      <c r="J64" s="16"/>
      <c r="K64" s="16"/>
      <c r="L64" s="19"/>
      <c r="M64" s="18"/>
      <c r="N64" s="17"/>
      <c r="O64" s="16"/>
      <c r="P64" s="16"/>
      <c r="Q64" s="15"/>
    </row>
    <row r="65" spans="1:18" s="2" customFormat="1" ht="48.75" x14ac:dyDescent="0.25">
      <c r="A65" s="3">
        <v>111</v>
      </c>
      <c r="C65" s="21" t="s">
        <v>4</v>
      </c>
      <c r="D65" s="20"/>
      <c r="E65" s="17"/>
      <c r="F65" s="16"/>
      <c r="G65" s="16"/>
      <c r="H65" s="16"/>
      <c r="I65" s="16"/>
      <c r="J65" s="16"/>
      <c r="K65" s="16"/>
      <c r="L65" s="19"/>
      <c r="M65" s="18"/>
      <c r="N65" s="17"/>
      <c r="O65" s="16"/>
      <c r="P65" s="16"/>
      <c r="Q65" s="15"/>
    </row>
    <row r="66" spans="1:18" s="2" customFormat="1" ht="17.25" x14ac:dyDescent="0.25">
      <c r="A66" s="3">
        <v>1</v>
      </c>
      <c r="C66" s="21" t="s">
        <v>3</v>
      </c>
      <c r="D66" s="20"/>
      <c r="E66" s="17"/>
      <c r="F66" s="16"/>
      <c r="G66" s="16"/>
      <c r="H66" s="16"/>
      <c r="I66" s="16"/>
      <c r="J66" s="16"/>
      <c r="K66" s="16"/>
      <c r="L66" s="19" t="s">
        <v>1</v>
      </c>
      <c r="M66" s="18"/>
      <c r="N66" s="17"/>
      <c r="O66" s="16"/>
      <c r="P66" s="16"/>
      <c r="Q66" s="15"/>
    </row>
    <row r="67" spans="1:18" s="2" customFormat="1" ht="17.25" x14ac:dyDescent="0.25">
      <c r="A67" s="3">
        <v>1</v>
      </c>
      <c r="C67" s="21" t="s">
        <v>2</v>
      </c>
      <c r="D67" s="20"/>
      <c r="E67" s="17"/>
      <c r="F67" s="16"/>
      <c r="G67" s="16"/>
      <c r="H67" s="16"/>
      <c r="I67" s="16"/>
      <c r="J67" s="16"/>
      <c r="K67" s="16"/>
      <c r="L67" s="19" t="s">
        <v>1</v>
      </c>
      <c r="M67" s="18"/>
      <c r="N67" s="17"/>
      <c r="O67" s="16"/>
      <c r="P67" s="16"/>
      <c r="Q67" s="15"/>
    </row>
    <row r="68" spans="1:18" s="2" customFormat="1" ht="16.5" thickBot="1" x14ac:dyDescent="0.3">
      <c r="A68" s="3"/>
      <c r="C68" s="14"/>
      <c r="D68" s="13"/>
      <c r="E68" s="10"/>
      <c r="F68" s="9"/>
      <c r="G68" s="9"/>
      <c r="H68" s="9"/>
      <c r="I68" s="9"/>
      <c r="J68" s="9"/>
      <c r="K68" s="9"/>
      <c r="L68" s="12"/>
      <c r="M68" s="11"/>
      <c r="N68" s="10"/>
      <c r="O68" s="9"/>
      <c r="P68" s="9"/>
      <c r="Q68" s="8"/>
    </row>
    <row r="69" spans="1:18" s="2" customFormat="1" ht="16.5" thickBot="1" x14ac:dyDescent="0.3">
      <c r="A69" s="3"/>
      <c r="C69" s="7" t="s">
        <v>0</v>
      </c>
      <c r="D69" s="7"/>
    </row>
    <row r="70" spans="1:18" s="2" customFormat="1" ht="65.25" thickBot="1" x14ac:dyDescent="0.3">
      <c r="A70" s="3">
        <v>1111</v>
      </c>
      <c r="C70" s="6"/>
      <c r="D70" s="5"/>
      <c r="E70" s="5"/>
      <c r="F70" s="5"/>
      <c r="G70" s="5"/>
      <c r="H70" s="5"/>
      <c r="I70" s="5"/>
      <c r="J70" s="5"/>
      <c r="K70" s="5"/>
      <c r="L70" s="5"/>
      <c r="M70" s="5"/>
      <c r="N70" s="5"/>
      <c r="O70" s="5"/>
      <c r="P70" s="5"/>
      <c r="Q70" s="4"/>
    </row>
    <row r="71" spans="1:18" s="2" customFormat="1" ht="15.75" x14ac:dyDescent="0.25">
      <c r="A71" s="3"/>
    </row>
    <row r="72" spans="1:18" s="2" customFormat="1" ht="15.75" x14ac:dyDescent="0.25">
      <c r="A72" s="3"/>
      <c r="R72"/>
    </row>
    <row r="73" spans="1:18" s="2" customFormat="1" ht="15.75" x14ac:dyDescent="0.25">
      <c r="A73" s="3"/>
      <c r="R73"/>
    </row>
    <row r="74" spans="1:18" s="2" customFormat="1" ht="15.75" x14ac:dyDescent="0.25">
      <c r="A74" s="3"/>
      <c r="R74"/>
    </row>
    <row r="75" spans="1:18" s="2" customFormat="1" ht="15.75" x14ac:dyDescent="0.25">
      <c r="A75" s="3"/>
      <c r="R75"/>
    </row>
  </sheetData>
  <mergeCells count="74">
    <mergeCell ref="C67:D67"/>
    <mergeCell ref="C68:D68"/>
    <mergeCell ref="C69:D69"/>
    <mergeCell ref="C70:Q70"/>
    <mergeCell ref="C66:D66"/>
    <mergeCell ref="C55:D55"/>
    <mergeCell ref="C63:D63"/>
    <mergeCell ref="C64:D64"/>
    <mergeCell ref="C65:D65"/>
    <mergeCell ref="C60:D60"/>
    <mergeCell ref="C61:D61"/>
    <mergeCell ref="C62:D62"/>
    <mergeCell ref="C48:D48"/>
    <mergeCell ref="C40:D40"/>
    <mergeCell ref="C59:D59"/>
    <mergeCell ref="C50:D50"/>
    <mergeCell ref="C51:D51"/>
    <mergeCell ref="C53:D53"/>
    <mergeCell ref="C54:D54"/>
    <mergeCell ref="C58:D58"/>
    <mergeCell ref="C41:D41"/>
    <mergeCell ref="C42:D42"/>
    <mergeCell ref="C37:D37"/>
    <mergeCell ref="C38:D38"/>
    <mergeCell ref="C39:D39"/>
    <mergeCell ref="C35:D35"/>
    <mergeCell ref="C46:D46"/>
    <mergeCell ref="C47:D47"/>
    <mergeCell ref="C43:D43"/>
    <mergeCell ref="C44:D44"/>
    <mergeCell ref="C45:D45"/>
    <mergeCell ref="C56:D56"/>
    <mergeCell ref="C57:D57"/>
    <mergeCell ref="C52:D52"/>
    <mergeCell ref="C49:D49"/>
    <mergeCell ref="C25:D25"/>
    <mergeCell ref="C26:D26"/>
    <mergeCell ref="C28:D28"/>
    <mergeCell ref="C29:D29"/>
    <mergeCell ref="C30:D30"/>
    <mergeCell ref="C27:D27"/>
    <mergeCell ref="C33:D33"/>
    <mergeCell ref="C34:D34"/>
    <mergeCell ref="C36:D36"/>
    <mergeCell ref="C20:D20"/>
    <mergeCell ref="C21:D21"/>
    <mergeCell ref="C22:D22"/>
    <mergeCell ref="C23:D23"/>
    <mergeCell ref="C24:D24"/>
    <mergeCell ref="C31:D31"/>
    <mergeCell ref="C32:D32"/>
    <mergeCell ref="B9:C10"/>
    <mergeCell ref="D9:Q9"/>
    <mergeCell ref="D10:Q10"/>
    <mergeCell ref="B12:D12"/>
    <mergeCell ref="C18:D19"/>
    <mergeCell ref="E18:K18"/>
    <mergeCell ref="L18:M19"/>
    <mergeCell ref="N18:P18"/>
    <mergeCell ref="Q18:Q19"/>
    <mergeCell ref="D1:P1"/>
    <mergeCell ref="D2:P2"/>
    <mergeCell ref="H6:K6"/>
    <mergeCell ref="N6:P6"/>
    <mergeCell ref="H7:K7"/>
    <mergeCell ref="L7:M7"/>
    <mergeCell ref="N7:P7"/>
    <mergeCell ref="Q2:Q4"/>
    <mergeCell ref="P3:P4"/>
    <mergeCell ref="H5:K5"/>
    <mergeCell ref="N5:P5"/>
    <mergeCell ref="H8:K8"/>
    <mergeCell ref="L8:M8"/>
    <mergeCell ref="N8:P8"/>
  </mergeCells>
  <conditionalFormatting sqref="C21:D67">
    <cfRule type="duplicateValues" dxfId="1" priority="1"/>
    <cfRule type="duplicateValues" dxfId="0" priority="2"/>
  </conditionalFormatting>
  <dataValidations count="1">
    <dataValidation type="list" allowBlank="1" showInputMessage="1" showErrorMessage="1" sqref="Q21:Q67" xr:uid="{00000000-0002-0000-1A00-000000000000}">
      <formula1>$I$13:$I$15</formula1>
    </dataValidation>
  </dataValidations>
  <pageMargins left="0.5" right="0.42" top="0.47244094488188981" bottom="0.47244094488188981" header="0.31496062992125984" footer="0.31496062992125984"/>
  <pageSetup paperSize="9" scale="6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105-1</vt:lpstr>
      <vt:lpstr>P-105</vt:lpstr>
      <vt:lpstr>'105-1'!Área_de_impresión</vt:lpstr>
      <vt:lpstr>'P-105'!Área_de_impresión</vt:lpstr>
      <vt:lpstr>'P-105'!Títulos_a_imprimir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2023-08-25T15:01:56Z</dcterms:created>
  <dcterms:modified xsi:type="dcterms:W3CDTF">2023-08-25T15:04:21Z</dcterms:modified>
</cp:coreProperties>
</file>